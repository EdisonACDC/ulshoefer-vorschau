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nleitung" sheetId="1" state="visible" r:id="rId3"/>
    <sheet name="Allgemein" sheetId="2" state="visible" r:id="rId4"/>
    <sheet name="Klimaanlage" sheetId="3" state="visible" r:id="rId5"/>
    <sheet name="Wärmepumpe" sheetId="4" state="visible" r:id="rId6"/>
    <sheet name="Photovoltaik" sheetId="5" state="visible" r:id="rId7"/>
    <sheet name="Smart Home" sheetId="6" state="visible" r:id="rId8"/>
    <sheet name="Hausgeräte" sheetId="7" state="visible" r:id="rId9"/>
    <sheet name="Elektroinstallation" sheetId="8" state="visible" r:id="rId10"/>
    <sheet name="_zuordnung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<sst xmlns="http://schemas.openxmlformats.org/spreadsheetml/2006/main" count="1639" uniqueCount="564">
  <si>
    <t xml:space="preserve">Preisliste für den Online-Angebotsrechner</t>
  </si>
  <si>
    <t xml:space="preserve">Elektrotechnik Ulshöfer GmbH · erstellt am 25.10.2026 aus der Preisverwaltung</t>
  </si>
  <si>
    <t xml:space="preserve">So ändern Sie Preise mit dieser Tabelle – ganz ohne fremde Hilfe</t>
  </si>
  <si>
    <t xml:space="preserve">1. Tragen Sie Ihre Werte nur in die gelben Zellen mit blauer Schrift ein (Nettopreise, Stunden, Ja/Nein).</t>
  </si>
  <si>
    <t xml:space="preserve">2. Graue Zellen rechnen automatisch (Bruttopreis, Arbeitslohn) – bitte nicht überschreiben.</t>
  </si>
  <si>
    <t xml:space="preserve">3. Neue Geräte tragen Sie in die freien gelben Zeilen unter der jeweiligen Tabelle ein. Ein Gerät, das Sie nicht mehr anbieten wollen: Spalte „Aktiv“ auf „Nein“.</t>
  </si>
  <si>
    <t xml:space="preserve">4. Datei speichern (als Excel-Datei .xlsx, Name beliebig).</t>
  </si>
  <si>
    <t xml:space="preserve">5. In der Preisverwaltung auf „Excel importieren“ klicken und diese Datei wählen. Die Preisverwaltung zeigt, was sich geändert hat.</t>
  </si>
  <si>
    <t xml:space="preserve">6. Änderungen prüfen und auf „Speichern“ klicken – fertig. Die Website rechnet sofort mit Ihren Preisen.</t>
  </si>
  <si>
    <t xml:space="preserve">Gut zu wissen</t>
  </si>
  <si>
    <t xml:space="preserve">• Alle Preise sind Nettopreise – außer im Blatt „Hausgeräte“: dort Bruttopreise wie im Laden.</t>
  </si>
  <si>
    <t xml:space="preserve">• Produktbilder werden in der Preisverwaltung hochgeladen; beim Import bleiben vorhandene Bilder erhalten.</t>
  </si>
  <si>
    <t xml:space="preserve">• Bitte keine Blätter, Spalten oder Überschriften verschieben oder löschen – sonst kann die Tabelle nicht mehr eingelesen werden.</t>
  </si>
  <si>
    <t xml:space="preserve">• Das ausgeblendete Blatt „_zuordnung“ wird für den Import benötigt.</t>
  </si>
  <si>
    <t xml:space="preserve">Legende</t>
  </si>
  <si>
    <t xml:space="preserve">Gelb mit blauer Schrift: Ihre Eingabe</t>
  </si>
  <si>
    <t xml:space="preserve">Grau: wird berechnet</t>
  </si>
  <si>
    <t xml:space="preserve">Allgemein</t>
  </si>
  <si>
    <t xml:space="preserve">Gelbe Zellen ändern. Bruttopreise und Arbeitslohn werden mit Stundensatz und MwSt. aus „Allgemein“ berechnet.</t>
  </si>
  <si>
    <t xml:space="preserve">Sichtbare Bereiche auf der Website</t>
  </si>
  <si>
    <t xml:space="preserve">Ausgeschaltet: Der Bereich erscheint weder im Rechner noch in der Schnellauswahl oder im Footer. Die Beschreibung unter „Leistungen“ bleibt sichtbar – mit dem Button „Beratung anfragen“.</t>
  </si>
  <si>
    <t xml:space="preserve">Bereich</t>
  </si>
  <si>
    <t xml:space="preserve">Sichtbar</t>
  </si>
  <si>
    <t xml:space="preserve">Wärmepumpe</t>
  </si>
  <si>
    <t xml:space="preserve">Ja</t>
  </si>
  <si>
    <t xml:space="preserve">Photovoltaik</t>
  </si>
  <si>
    <t xml:space="preserve">Klimaanlage</t>
  </si>
  <si>
    <t xml:space="preserve">Smart Home</t>
  </si>
  <si>
    <t xml:space="preserve">Elektroinstallation</t>
  </si>
  <si>
    <t xml:space="preserve">Hausgeräte (Online-Bestellung)</t>
  </si>
  <si>
    <t xml:space="preserve">Chat-Assistent</t>
  </si>
  <si>
    <t xml:space="preserve">Arbeitslohn und Angebot</t>
  </si>
  <si>
    <t xml:space="preserve">Position</t>
  </si>
  <si>
    <t xml:space="preserve">Wert</t>
  </si>
  <si>
    <t xml:space="preserve">Einheit</t>
  </si>
  <si>
    <t xml:space="preserve">Arbeitslohn netto</t>
  </si>
  <si>
    <t xml:space="preserve">Brutto inkl. MwSt.</t>
  </si>
  <si>
    <t xml:space="preserve">Stundensatz Monteur</t>
  </si>
  <si>
    <t xml:space="preserve">€/h</t>
  </si>
  <si>
    <t xml:space="preserve">Anfahrt (einmal pro Angebot)</t>
  </si>
  <si>
    <t xml:space="preserve">€</t>
  </si>
  <si>
    <t xml:space="preserve">MwSt.</t>
  </si>
  <si>
    <t xml:space="preserve">%</t>
  </si>
  <si>
    <t xml:space="preserve">Preisspanne „von … bis …“ ±</t>
  </si>
  <si>
    <t xml:space="preserve">Gültigkeit des Angebots</t>
  </si>
  <si>
    <t xml:space="preserve">Tage</t>
  </si>
  <si>
    <t xml:space="preserve">KfW-Förderung (Wärmepumpe, Programm 458)</t>
  </si>
  <si>
    <t xml:space="preserve">KfW-Regeln seit 21.07.2026. Der Klimageschwindigkeitsbonus sinkt auf 12 % ab 1.2.2027 und 8 % ab 1.8.2027. Die förderfähigen Kosten sinken jeweils zum 1.2. und 1.8. um 750 €.</t>
  </si>
  <si>
    <t xml:space="preserve">Grundförderung</t>
  </si>
  <si>
    <t xml:space="preserve">Klimageschwindigkeitsbonus</t>
  </si>
  <si>
    <t xml:space="preserve">Höchstfördersatz</t>
  </si>
  <si>
    <t xml:space="preserve">Höchstsatz bei Einkommen bis 30.000 €</t>
  </si>
  <si>
    <t xml:space="preserve">Max. förderfähige Kosten</t>
  </si>
  <si>
    <t xml:space="preserve">Auf der Website sichtbar</t>
  </si>
  <si>
    <t xml:space="preserve">Single-Split-Geräte (Set Innen- + Außengerät)</t>
  </si>
  <si>
    <t xml:space="preserve">Die Website wählt das kleinste Gerät, das für den Raum reicht, in der vom Kunden gewählten Klasse; bei gleicher Leistung das günstigste.</t>
  </si>
  <si>
    <t xml:space="preserve">Aktiv</t>
  </si>
  <si>
    <t xml:space="preserve">Hersteller</t>
  </si>
  <si>
    <t xml:space="preserve">Modell</t>
  </si>
  <si>
    <t xml:space="preserve">Leistung (kW)</t>
  </si>
  <si>
    <t xml:space="preserve">Klasse</t>
  </si>
  <si>
    <t xml:space="preserve">Nettopreis (€)</t>
  </si>
  <si>
    <t xml:space="preserve">Energieklasse Kühlen</t>
  </si>
  <si>
    <t xml:space="preserve">Energieklasse Heizen</t>
  </si>
  <si>
    <t xml:space="preserve">SEER (–)</t>
  </si>
  <si>
    <t xml:space="preserve">SCOP (–)</t>
  </si>
  <si>
    <t xml:space="preserve">Schalldruck Innengerät ab (dB(A))</t>
  </si>
  <si>
    <t xml:space="preserve">Kältemittel</t>
  </si>
  <si>
    <t xml:space="preserve">Link Energielabel</t>
  </si>
  <si>
    <t xml:space="preserve">Link Produktdatenblatt</t>
  </si>
  <si>
    <t xml:space="preserve">Bruttopreis (€)</t>
  </si>
  <si>
    <t xml:space="preserve">Toshiba</t>
  </si>
  <si>
    <t xml:space="preserve">Seiya RAS-B10E2KVG-E / RAS-10E2AVG-E</t>
  </si>
  <si>
    <t xml:space="preserve">Standard</t>
  </si>
  <si>
    <t xml:space="preserve">A++</t>
  </si>
  <si>
    <t xml:space="preserve">R32</t>
  </si>
  <si>
    <t xml:space="preserve">https://data.toshiba-klima.at/de/Seiya%20NEW%20-%202%2C50%20kW%20-%20R32%20-%20SET120%20-%20Home%20RAS-B10E2KVG-E%20-%20RAS-10E2AVG-E%20de.pdf</t>
  </si>
  <si>
    <t xml:space="preserve">Seiya RAS-B13E2KVG-E / RAS-13E2AVG-E</t>
  </si>
  <si>
    <t xml:space="preserve">https://data.toshiba-klima.at/de/Seiya%20NEW%20-%203%2C30%20kW%20-%20R32%20-%20SET120%20-%20Home%20RAS-B13E2KVG-E%20-%20RAS-13E2AVG-E%20de.pdf</t>
  </si>
  <si>
    <t xml:space="preserve">Seiya RAS-B16E2KVG-E / RAS-16E2AVG-E</t>
  </si>
  <si>
    <t xml:space="preserve">https://data.toshiba-klima.at/de/Seiya%20NEW%20-%204%2C20%20kW%20-%20R32%20-%20SET120%20-%20Home%20RAS-B16E2KVG-E%20-%20RAS-16E2AVG-E%20de.pdf</t>
  </si>
  <si>
    <t xml:space="preserve">Seiya RAS-B18E2KVG-E / RAS-18E2AVG-E</t>
  </si>
  <si>
    <t xml:space="preserve">A+</t>
  </si>
  <si>
    <t xml:space="preserve">https://data.toshiba-klima.at/de/Seiya%20NEW%20-%205%2C00%20kW%20-%20R32%20-%20SET120%20-%20Home%20RAS-B18E2KVG-E%20-%20RAS-18E2AVG-E%20de.pdf</t>
  </si>
  <si>
    <t xml:space="preserve">Seiya RAS-B24E2KVG-E / RAS-24E2AVG-E</t>
  </si>
  <si>
    <t xml:space="preserve">https://data.toshiba-klima.at/de/Seiya%20NEW%20-%206%2C50%20kW%20-%20R32%20-%20SET120%20-%20Home%20RAS-B24E2KVG-E%20-%20RAS-24E2AVG-E%20de.pdf</t>
  </si>
  <si>
    <t xml:space="preserve">Shorai Curve RAS-B10P2KVSG-E / RAS-10P2AVSG-E</t>
  </si>
  <si>
    <t xml:space="preserve">Premium</t>
  </si>
  <si>
    <t xml:space="preserve">A+++</t>
  </si>
  <si>
    <t xml:space="preserve">https://data.toshiba-klima.at/de/SHORAI%20CURVE%20WHITE%20-%202%2C50%20kW%20-%20R32%20-%20SET160%20-%20Home%20RAS-B10P2KVSG-E%20-%20RAS-10P2AVSG-E%20de.pdf</t>
  </si>
  <si>
    <t xml:space="preserve">Shorai Curve RAS-B13P2KVSG-E / RAS-13P2AVSG-E</t>
  </si>
  <si>
    <t xml:space="preserve">https://data.toshiba-klima.at/de/SHORAI%20CURVE%20WHITE%20-%203%2C50%20kW%20-%20R32%20-%20SET160%20-%20Home%20RAS-B13P2KVSG-E%20-%20RAS-13P2AVSG-E%20de.pdf</t>
  </si>
  <si>
    <t xml:space="preserve">Shorai Curve RAS-B16P2KVSG-E / RAS-16P2AVSG-E</t>
  </si>
  <si>
    <t xml:space="preserve">https://data.toshiba-klima.at/de/SHORAI%20CURVE%20WHITE%20-%204%2C60%20kW%20-%20R32%20-%20SET160%20-%20Home%20RAS-B16P2KVSG-E%20-%20RAS-16P2AVSG-E%20de.pdf</t>
  </si>
  <si>
    <t xml:space="preserve">Shorai Curve RAS-B18P2KVSG-E / RAS-18P2AVSG-E</t>
  </si>
  <si>
    <t xml:space="preserve">https://data.toshiba-klima.at/de/SHORAI%20CURVE%20WHITE%20-%205%2C00%20kW%20-%20R32%20-%20SET160%20-%20Home%20RAS-B18P2KVSG-E%20-%20RAS-18P2AVSG-E%20de.pdf</t>
  </si>
  <si>
    <t xml:space="preserve">Shorai Curve RAS-B22P2KVSG-E / RAS-22P2AVSG-E</t>
  </si>
  <si>
    <t xml:space="preserve">https://data.toshiba-klima.at/de/SHORAI%20CURVE%20WHITE%20-%206%2C10%20kW%20-%20R32%20-%20SET160%20-%20Home%20RAS-B22P2KVSG-E%20-%20RAS-22P2AVSG-E%20de.pdf</t>
  </si>
  <si>
    <t xml:space="preserve">Shorai Curve RAS-B24P2KVSG-E / RAS-24P2AVSG-E</t>
  </si>
  <si>
    <t xml:space="preserve">https://data.toshiba-klima.at/de/SHORAI%20CURVE%20WHITE%20-%207%2C00%20kW%20-%20R32%20-%20SET160%20-%20Home%20RAS-B24P2KVSG-E%20-%20RAS-24P2AVSG-E%20de.pdf</t>
  </si>
  <si>
    <t xml:space="preserve">Daiseikai 10 RAS-B10S4KVPG-E / RAS-10S4AVPG-E</t>
  </si>
  <si>
    <t xml:space="preserve">https://data.toshiba-klima.at/de/Daiseikai%2010%20-%20WHITE%20-%202%2C50%20kW%20-%20R32%20-%20SET145%20-%20Home%20RAS-B10S4KVPG-E%20-%20RAS-10S4AVPG-E%20de.pdf</t>
  </si>
  <si>
    <t xml:space="preserve">Daiseikai 10 RAS-B13S4KVPG-E / RAS-13S4AVPG-E</t>
  </si>
  <si>
    <t xml:space="preserve">https://data.toshiba-klima.at/de/Daiseikai%2010%20-%20WHITE%20-%203%2C50%20kW%20-%20R32%20-%20SET145%20-%20Home%20RAS-B13S4KVPG-E%20-%20RAS-13S4AVPG-E%20de.pdf</t>
  </si>
  <si>
    <t xml:space="preserve">Daiseikai 10 RAS-B18S4KVPG-E / RAS-18S4AVPG-E</t>
  </si>
  <si>
    <t xml:space="preserve">https://data.toshiba-klima.at/de/Daiseikai%2010%20-%20WHITE%20-%205%2C00%20kW%20-%20R32%20-%20SET145%20-%20Home%20RAS-B18S4KVPG-E%20-%20RAS-18S4AVPG-E%20de.pdf</t>
  </si>
  <si>
    <t xml:space="preserve">Daikin</t>
  </si>
  <si>
    <t xml:space="preserve">Comfora FTXP25N / RXP25N</t>
  </si>
  <si>
    <t xml:space="preserve">https://www.daikin.de/de_de/produkte/product.table.html/FTXP-N9---RXP-N9.html</t>
  </si>
  <si>
    <t xml:space="preserve">Comfora FTXP35N / RXP35N</t>
  </si>
  <si>
    <t xml:space="preserve">Comfora FTXP50N / RXP50N</t>
  </si>
  <si>
    <t xml:space="preserve">https://www.daikin.de/de_de/produkte/product.table.html/FTXP-N9---RXP-N8.html</t>
  </si>
  <si>
    <t xml:space="preserve">Perfera FTXM25A / RXM25A</t>
  </si>
  <si>
    <t xml:space="preserve">https://www.daikin.de/de_de/produkte/product.table.html/FTXM-A---RXM-A9.html</t>
  </si>
  <si>
    <t xml:space="preserve">Perfera FTXM35A / RXM35A</t>
  </si>
  <si>
    <t xml:space="preserve">Perfera FTXM50A / RXM50A</t>
  </si>
  <si>
    <t xml:space="preserve">Mitsubishi Electric</t>
  </si>
  <si>
    <t xml:space="preserve">MSZ-AY25VGKP / MUZ-AY25VG</t>
  </si>
  <si>
    <t xml:space="preserve">https://www.mitsubishi-les.com/de-de/dam-upload/daswandgeraetmszaybroschuere.pdf?rev=346288</t>
  </si>
  <si>
    <t xml:space="preserve">MSZ-AY35VGKP / MUZ-AY35VG</t>
  </si>
  <si>
    <t xml:space="preserve">MSZ-AY42VGKP / MUZ-AY42VG</t>
  </si>
  <si>
    <t xml:space="preserve">MSZ-AY50VGKP / MUZ-AY50VG</t>
  </si>
  <si>
    <t xml:space="preserve">Freie gelbe Zeilen: hier neue Einträge eintragen.</t>
  </si>
  <si>
    <t xml:space="preserve">Multi-Split-Innengeräte</t>
  </si>
  <si>
    <t xml:space="preserve">Energieklasse und Energielabel gelten für die Kombination – sie werden beim Außengerät eingetragen.</t>
  </si>
  <si>
    <t xml:space="preserve">Seiya RAS-B10E2KVG-E (Multi)</t>
  </si>
  <si>
    <t xml:space="preserve">Seiya RAS-B13E2KVG-E (Multi)</t>
  </si>
  <si>
    <t xml:space="preserve">Seiya RAS-B16E2KVG-E (Multi)</t>
  </si>
  <si>
    <t xml:space="preserve">Shorai Curve RAS-M05P2KVSG-E (Multi)</t>
  </si>
  <si>
    <t xml:space="preserve">https://data.toshiba-klima.at/de/SHORAI%20CURVE%20WHITE%20-%201%2C50%20kW%20-%20R32%20-%20Home%20RAS-M05P2KVSG-E%20de.pdf</t>
  </si>
  <si>
    <t xml:space="preserve">Shorai Curve RAS-B10P2KVSG-E (Multi)</t>
  </si>
  <si>
    <t xml:space="preserve">Shorai Curve RAS-B13P2KVSG-E (Multi)</t>
  </si>
  <si>
    <t xml:space="preserve">Shorai Curve RAS-B16P2KVSG-E (Multi)</t>
  </si>
  <si>
    <t xml:space="preserve">Comfora FTXP25N (Multi)</t>
  </si>
  <si>
    <t xml:space="preserve">https://www.daikin.de/de_de/produkte/product.table.html/FTXP-N9.html</t>
  </si>
  <si>
    <t xml:space="preserve">Comfora FTXP35N (Multi)</t>
  </si>
  <si>
    <t xml:space="preserve">Comfora FTXP50N (Multi)</t>
  </si>
  <si>
    <t xml:space="preserve">Perfera FTXM20A (Multi)</t>
  </si>
  <si>
    <t xml:space="preserve">https://www.daikin.de/de_de/produkte/product.table.html/FTXM-A.html</t>
  </si>
  <si>
    <t xml:space="preserve">Perfera FTXM25A (Multi)</t>
  </si>
  <si>
    <t xml:space="preserve">Perfera FTXM35A (Multi)</t>
  </si>
  <si>
    <t xml:space="preserve">Perfera FTXM42A (Multi)</t>
  </si>
  <si>
    <t xml:space="preserve">Perfera FTXM50A (Multi)</t>
  </si>
  <si>
    <t xml:space="preserve">Multi-Split-Außengeräte</t>
  </si>
  <si>
    <t xml:space="preserve">Anschlüsse (Stk.)</t>
  </si>
  <si>
    <t xml:space="preserve">RAS-2M14G3AVG-E</t>
  </si>
  <si>
    <t xml:space="preserve">https://data.toshiba-klima.at/de/Multisplit%20Next%20R32%20-%204%2C00%20kW%20-%20R32%20-%20Home%20RAS-2M14G3AVG-E%20de.pdf</t>
  </si>
  <si>
    <t xml:space="preserve">RAS-2M18G3AVG-E</t>
  </si>
  <si>
    <t xml:space="preserve">https://data.toshiba-klima.at/de/Multisplit%20Next%20R32%20-%205%2C20%20kW%20-%20R32%20-%20Home%20RAS-2M18G3AVG-E%20de.pdf</t>
  </si>
  <si>
    <t xml:space="preserve">RAS-3M18G3AVG-E</t>
  </si>
  <si>
    <t xml:space="preserve">https://data.toshiba-klima.at/de/Multisplit%20Next%20R32%20-%205%2C20%20kW%20-%20R32%20-%20Home%20RAS-3M18G3AVG-E%20de.pdf</t>
  </si>
  <si>
    <t xml:space="preserve">RAS-3M26G3AVG-E</t>
  </si>
  <si>
    <t xml:space="preserve">https://data.toshiba-klima.at/de/Multisplit%20Next%20R32%20-%207%2C00%20kW%20-%20R32%20-%20Home%20RAS-3M26G3AVG-E%20de.pdf</t>
  </si>
  <si>
    <t xml:space="preserve">RAS-4M27G3AVG-E</t>
  </si>
  <si>
    <t xml:space="preserve">https://data.toshiba-klima.at/de/Multisplit%20Next%20R32%20-%208%2C00%20kW%20-%20R32%20-%20Home%20RAS-4M27G3AVG-E%20de.pdf</t>
  </si>
  <si>
    <t xml:space="preserve">RAS-5M34G3AVG-E1</t>
  </si>
  <si>
    <t xml:space="preserve">https://data.toshiba-klima.at/de/Multisplit%20Next%20R32%20-%2010%2C00%20kW%20-%20R32%20-%20Home%20RAS-5M34G3AVG-E1%20de.pdf</t>
  </si>
  <si>
    <t xml:space="preserve">2MXM40A</t>
  </si>
  <si>
    <t xml:space="preserve">–</t>
  </si>
  <si>
    <t xml:space="preserve">https://www.daikin.de/de_de/produkte/product.table.html/2MXM-A9.html</t>
  </si>
  <si>
    <t xml:space="preserve">2MXM50A</t>
  </si>
  <si>
    <t xml:space="preserve">3MXM52A</t>
  </si>
  <si>
    <t xml:space="preserve">https://www.daikin.de/de_de/produkte/product.table.html/FTXM-A---3MXM-A9.html</t>
  </si>
  <si>
    <t xml:space="preserve">3MXM68A</t>
  </si>
  <si>
    <t xml:space="preserve">https://www.daikin.de/de_de/produkte/product.table.html/3MXM-A9.html</t>
  </si>
  <si>
    <t xml:space="preserve">4MXM80A</t>
  </si>
  <si>
    <t xml:space="preserve">https://www.daikin.de/de_de/produkte/product.table.html/4MXM-A9.html</t>
  </si>
  <si>
    <t xml:space="preserve">5MXM90A</t>
  </si>
  <si>
    <t xml:space="preserve">https://www.daikin.de/de_de/produkte/product.table.html/5MXM-A9.html</t>
  </si>
  <si>
    <t xml:space="preserve">Arbeitszeit (Stunden)</t>
  </si>
  <si>
    <t xml:space="preserve">Montage Single-Split komplett</t>
  </si>
  <si>
    <t xml:space="preserve">Std.</t>
  </si>
  <si>
    <t xml:space="preserve">Montage Multi-Split: Grundpauschale</t>
  </si>
  <si>
    <t xml:space="preserve">… je Innengerät</t>
  </si>
  <si>
    <t xml:space="preserve">Mehrlänge Kältemittelleitung, pro Meter</t>
  </si>
  <si>
    <t xml:space="preserve">Kernbohrung, pro Loch</t>
  </si>
  <si>
    <t xml:space="preserve">Kondensatpumpe, pro Stück</t>
  </si>
  <si>
    <t xml:space="preserve">Eigener Stromkreis</t>
  </si>
  <si>
    <t xml:space="preserve">Boden-/Dachkonsole</t>
  </si>
  <si>
    <t xml:space="preserve">Material (netto)</t>
  </si>
  <si>
    <t xml:space="preserve">Grundmaterial Single-Split (3 m Leitung, Wandkonsole, Kabelkanal)</t>
  </si>
  <si>
    <t xml:space="preserve">Grundmaterial je Multi-Innengerät</t>
  </si>
  <si>
    <t xml:space="preserve">Bodenkonsole</t>
  </si>
  <si>
    <t xml:space="preserve">Flachdachgestell</t>
  </si>
  <si>
    <t xml:space="preserve">Kondensatpumpe</t>
  </si>
  <si>
    <t xml:space="preserve">Eigener Stromkreis (Material)</t>
  </si>
  <si>
    <t xml:space="preserve">Sonstiges</t>
  </si>
  <si>
    <t xml:space="preserve">Wartungsvertrag pro Jahr (brutto)</t>
  </si>
  <si>
    <t xml:space="preserve">Leistung pro m² Raumfläche</t>
  </si>
  <si>
    <t xml:space="preserve">kW</t>
  </si>
  <si>
    <t xml:space="preserve">Geräte (Luft-Wasser-Wärmepumpen)</t>
  </si>
  <si>
    <t xml:space="preserve">Die Website wählt das kleinste Gerät, das die Heizlast deckt; der Kunde kann nach Hersteller filtern.</t>
  </si>
  <si>
    <t xml:space="preserve">Energieklasse (55 °C)</t>
  </si>
  <si>
    <t xml:space="preserve">Dimplex</t>
  </si>
  <si>
    <t xml:space="preserve">System M Comfort Plus 4–6 kW (Split)</t>
  </si>
  <si>
    <t xml:space="preserve">LA 9S-TUR (Monoblock außen)</t>
  </si>
  <si>
    <t xml:space="preserve">LA 0712C (Monoblock außen)</t>
  </si>
  <si>
    <t xml:space="preserve">M Flex 0916HBC (Split, 9–16 kW)</t>
  </si>
  <si>
    <t xml:space="preserve">LA 1118C (Monoblock außen)</t>
  </si>
  <si>
    <t xml:space="preserve">Montage, hydraulischer Abgleich, Inbetriebnahme</t>
  </si>
  <si>
    <t xml:space="preserve">Demontage Ölkessel</t>
  </si>
  <si>
    <t xml:space="preserve">Demontage Gaskessel</t>
  </si>
  <si>
    <t xml:space="preserve">Demontage Nachtspeicheröfen</t>
  </si>
  <si>
    <t xml:space="preserve">Heizkörpertausch, pro Stück</t>
  </si>
  <si>
    <t xml:space="preserve">Zählerschrank</t>
  </si>
  <si>
    <t xml:space="preserve">Hydraulikpaket (Puffer, Warmwasserspeicher, Anschlüsse)</t>
  </si>
  <si>
    <t xml:space="preserve">Entsorgung Heizöl und Tankreinigung</t>
  </si>
  <si>
    <t xml:space="preserve">Entsorgung Gaskessel</t>
  </si>
  <si>
    <t xml:space="preserve">Entsorgung Nachtspeicheröfen</t>
  </si>
  <si>
    <t xml:space="preserve">Niedertemperatur-Heizkörper</t>
  </si>
  <si>
    <t xml:space="preserve">Zählerplatz Wärmepumpe</t>
  </si>
  <si>
    <t xml:space="preserve">Berechnung</t>
  </si>
  <si>
    <t xml:space="preserve">Warmwasser: Zusatzleistung pro Person</t>
  </si>
  <si>
    <t xml:space="preserve">Module</t>
  </si>
  <si>
    <t xml:space="preserve">Die Website verwendet das erste Modul der Liste. Mit ↑ schieben Sie ein Modul nach oben.</t>
  </si>
  <si>
    <t xml:space="preserve">Leistung (Wp)</t>
  </si>
  <si>
    <t xml:space="preserve">Preis pro Modul (€)</t>
  </si>
  <si>
    <t xml:space="preserve">Aiko</t>
  </si>
  <si>
    <t xml:space="preserve">Neostar 2P 450 Wp Glas-Glas</t>
  </si>
  <si>
    <t xml:space="preserve">Meyer Burger</t>
  </si>
  <si>
    <t xml:space="preserve">Glass 400 Wp</t>
  </si>
  <si>
    <t xml:space="preserve">Wechselrichter</t>
  </si>
  <si>
    <t xml:space="preserve">Gewählt wird der kleinste Wechselrichter mit mindestens 80 % der Modulleistung.</t>
  </si>
  <si>
    <t xml:space="preserve">Fronius</t>
  </si>
  <si>
    <t xml:space="preserve">Primo GEN24 4.0 Plus</t>
  </si>
  <si>
    <t xml:space="preserve">Primo GEN24 6.0 Plus</t>
  </si>
  <si>
    <t xml:space="preserve">Symo GEN24 8.0 Plus</t>
  </si>
  <si>
    <t xml:space="preserve">Symo GEN24 10.0 Plus</t>
  </si>
  <si>
    <t xml:space="preserve">Tauro 15-3-P</t>
  </si>
  <si>
    <t xml:space="preserve">Speicher</t>
  </si>
  <si>
    <t xml:space="preserve">Der Kunde wählt einen dieser Speicher oder keinen.</t>
  </si>
  <si>
    <t xml:space="preserve">Kapazität (kWh)</t>
  </si>
  <si>
    <t xml:space="preserve">BYD</t>
  </si>
  <si>
    <t xml:space="preserve">Battery-Box Premium HVS 5.1</t>
  </si>
  <si>
    <t xml:space="preserve">Battery-Box Premium HVS 7.7</t>
  </si>
  <si>
    <t xml:space="preserve">Battery-Box Premium HVS 10.2</t>
  </si>
  <si>
    <t xml:space="preserve">Wallbox</t>
  </si>
  <si>
    <t xml:space="preserve">Die Wallbox-Modelle werden im Reiter „Elektroinstallation“ gepflegt (gemeinsame Liste).</t>
  </si>
  <si>
    <t xml:space="preserve">Montagestunden Wallbox mit PV</t>
  </si>
  <si>
    <t xml:space="preserve">Montage: Grundpauschale</t>
  </si>
  <si>
    <t xml:space="preserve">… je Modul</t>
  </si>
  <si>
    <t xml:space="preserve">Montage Speicher</t>
  </si>
  <si>
    <t xml:space="preserve">Notstromfunktion</t>
  </si>
  <si>
    <t xml:space="preserve">Unterkonstruktion, pro Modul</t>
  </si>
  <si>
    <t xml:space="preserve">DC/AC-Verkabelung, Schutzeinrichtungen, Kleinmaterial</t>
  </si>
  <si>
    <t xml:space="preserve">Gerüst / Absturzsicherung</t>
  </si>
  <si>
    <t xml:space="preserve">Anpassung Zählerschrank</t>
  </si>
  <si>
    <t xml:space="preserve">Anmeldung Netzbetreiber und MaStR</t>
  </si>
  <si>
    <t xml:space="preserve">Notstrom-Umschalter</t>
  </si>
  <si>
    <t xml:space="preserve">Ertragsberechnung</t>
  </si>
  <si>
    <t xml:space="preserve">Jahresertrag pro kWp (Südausrichtung)</t>
  </si>
  <si>
    <t xml:space="preserve">kWh</t>
  </si>
  <si>
    <t xml:space="preserve">Strompreis des Kunden</t>
  </si>
  <si>
    <t xml:space="preserve">€/kWh</t>
  </si>
  <si>
    <t xml:space="preserve">Einspeisevergütung</t>
  </si>
  <si>
    <t xml:space="preserve">System Loxone</t>
  </si>
  <si>
    <t xml:space="preserve">Bezeichnung im Angebot</t>
  </si>
  <si>
    <t xml:space="preserve">Loxone (Miniserver, Tree/Air)</t>
  </si>
  <si>
    <t xml:space="preserve">Zentrale / Grundausstattung – Material</t>
  </si>
  <si>
    <t xml:space="preserve">Zentrale / Grundausstattung – Stunden</t>
  </si>
  <si>
    <t xml:space="preserve">Licht, pro Raum – Material</t>
  </si>
  <si>
    <t xml:space="preserve">Licht, pro Raum – Stunden</t>
  </si>
  <si>
    <t xml:space="preserve">Heizung, pro Raum – Material</t>
  </si>
  <si>
    <t xml:space="preserve">Heizung, pro Raum – Stunden</t>
  </si>
  <si>
    <t xml:space="preserve">Rollladen, pro Stück – Material</t>
  </si>
  <si>
    <t xml:space="preserve">Rollladen, pro Stück – Stunden</t>
  </si>
  <si>
    <t xml:space="preserve">Sicherheitspaket – Material</t>
  </si>
  <si>
    <t xml:space="preserve">Sicherheitspaket – Stunden</t>
  </si>
  <si>
    <t xml:space="preserve">System Funk</t>
  </si>
  <si>
    <t xml:space="preserve">Homematic IP (Funk)</t>
  </si>
  <si>
    <t xml:space="preserve">System KNX</t>
  </si>
  <si>
    <t xml:space="preserve">KNX (Gira / ABB)</t>
  </si>
  <si>
    <t xml:space="preserve">Hausgeräte</t>
  </si>
  <si>
    <t xml:space="preserve">Preise BRUTTO (inkl. MwSt.). Gelbe Zellen ändern, freie Zeilen für neue Produkte nutzen.</t>
  </si>
  <si>
    <t xml:space="preserve">Partner / Marken</t>
  </si>
  <si>
    <t xml:space="preserve">Ausgeschaltete Marken verschwinden mitsamt ihren Produkten aus der Online-Bestellung.</t>
  </si>
  <si>
    <t xml:space="preserve">Name</t>
  </si>
  <si>
    <t xml:space="preserve">Siemens Hausgeräte</t>
  </si>
  <si>
    <t xml:space="preserve">Miele</t>
  </si>
  <si>
    <t xml:space="preserve">Liebherr</t>
  </si>
  <si>
    <t xml:space="preserve">Produkte</t>
  </si>
  <si>
    <t xml:space="preserve">Preise BRUTTO (inkl. MwSt.) wie im Laden. Bild am besten quadratisch mit weißem Hintergrund; es wird automatisch verkleinert.</t>
  </si>
  <si>
    <t xml:space="preserve">Kategorie</t>
  </si>
  <si>
    <t xml:space="preserve">Kurzbeschreibung</t>
  </si>
  <si>
    <t xml:space="preserve">Anschluss/Montage brutto (€)</t>
  </si>
  <si>
    <t xml:space="preserve">Energieklasse</t>
  </si>
  <si>
    <t xml:space="preserve">Label-Skala</t>
  </si>
  <si>
    <t xml:space="preserve">Waschmaschine</t>
  </si>
  <si>
    <t xml:space="preserve">iQ300 Waschmaschine 8 kg</t>
  </si>
  <si>
    <t xml:space="preserve">Beispielprodukt – Ausstattung und Preis folgen</t>
  </si>
  <si>
    <t xml:space="preserve">A</t>
  </si>
  <si>
    <t xml:space="preserve">A–G (nuova)</t>
  </si>
  <si>
    <t xml:space="preserve">iQ500 Waschmaschine 9 kg</t>
  </si>
  <si>
    <t xml:space="preserve">Wäschetrockner</t>
  </si>
  <si>
    <t xml:space="preserve">iQ500 Wärmepumpentrockner 8 kg</t>
  </si>
  <si>
    <t xml:space="preserve">A+++–D</t>
  </si>
  <si>
    <t xml:space="preserve">Geschirrspüler</t>
  </si>
  <si>
    <t xml:space="preserve">iQ300 Einbau-Geschirrspüler 60 cm</t>
  </si>
  <si>
    <t xml:space="preserve">C</t>
  </si>
  <si>
    <t xml:space="preserve">Backofen &amp; Herd</t>
  </si>
  <si>
    <t xml:space="preserve">iQ500 Einbau-Backofen</t>
  </si>
  <si>
    <t xml:space="preserve">Kühlen &amp; Gefrieren</t>
  </si>
  <si>
    <t xml:space="preserve">iQ300 Kühl-Gefrier-Kombination</t>
  </si>
  <si>
    <t xml:space="preserve">Waschmaschine W1 (Beispiel)</t>
  </si>
  <si>
    <t xml:space="preserve">Kühl-Gefrier-Kombination (Beispiel)</t>
  </si>
  <si>
    <t xml:space="preserve">Leistungen</t>
  </si>
  <si>
    <t xml:space="preserve">Lieferung pro Gerät (brutto)</t>
  </si>
  <si>
    <t xml:space="preserve">Altgerät-Mitnahme pro Gerät (brutto)</t>
  </si>
  <si>
    <t xml:space="preserve">Lieferzeit (Text für den Kunden)</t>
  </si>
  <si>
    <t xml:space="preserve">In der Regel 3–10 Werktage, Liefertermin nach Absprache.</t>
  </si>
  <si>
    <t xml:space="preserve">Liefergebiet (Text für den Kunden)</t>
  </si>
  <si>
    <t xml:space="preserve">Lauda-Königshofen und Umgebung – andere Orte auf Anfrage.</t>
  </si>
  <si>
    <t xml:space="preserve">Zahlungsarten (Text für den Kunden)</t>
  </si>
  <si>
    <t xml:space="preserve">Überweisung nach Erhalt der Rechnung oder Barzahlung bzw. EC-Karte bei Abholung im Fachgeschäft.</t>
  </si>
  <si>
    <t xml:space="preserve">Installation pro m²</t>
  </si>
  <si>
    <t xml:space="preserve">Neubau – Material pro m²</t>
  </si>
  <si>
    <t xml:space="preserve">Neubau – Stunden pro m²</t>
  </si>
  <si>
    <t xml:space="preserve">Komplettsanierung – Material pro m²</t>
  </si>
  <si>
    <t xml:space="preserve">Komplettsanierung – Stunden pro m²</t>
  </si>
  <si>
    <t xml:space="preserve">Teilsanierung – Material pro m²</t>
  </si>
  <si>
    <t xml:space="preserve">Teilsanierung – Stunden pro m²</t>
  </si>
  <si>
    <t xml:space="preserve">Einzelpositionen</t>
  </si>
  <si>
    <t xml:space="preserve">Neuer Zählerschrank – Material</t>
  </si>
  <si>
    <t xml:space="preserve">Neuer Zählerschrank – Stunden</t>
  </si>
  <si>
    <t xml:space="preserve">Netzwerkdose – Material</t>
  </si>
  <si>
    <t xml:space="preserve">Netzwerkdose – Stunden</t>
  </si>
  <si>
    <t xml:space="preserve">Überspannungsschutz – Material</t>
  </si>
  <si>
    <t xml:space="preserve">Überspannungsschutz – Stunden</t>
  </si>
  <si>
    <t xml:space="preserve">E-CHECK – Material</t>
  </si>
  <si>
    <t xml:space="preserve">E-CHECK – Stunden</t>
  </si>
  <si>
    <t xml:space="preserve">Wallboxen (für Elektroinstallation und Photovoltaik)</t>
  </si>
  <si>
    <t xml:space="preserve">Der Kunde wählt die Wallbox im Rechner. Angeboten werden nur aktive Modelle.</t>
  </si>
  <si>
    <t xml:space="preserve">Wattpilot Home 11 J</t>
  </si>
  <si>
    <t xml:space="preserve">ABL</t>
  </si>
  <si>
    <t xml:space="preserve">eMH1 11 kW</t>
  </si>
  <si>
    <t xml:space="preserve">Mennekes</t>
  </si>
  <si>
    <t xml:space="preserve">AMTRON Compact 2.0s 11</t>
  </si>
  <si>
    <t xml:space="preserve">Heidelberg</t>
  </si>
  <si>
    <t xml:space="preserve">Energy Control</t>
  </si>
  <si>
    <t xml:space="preserve">Montage Wallbox</t>
  </si>
  <si>
    <t xml:space="preserve">Montagestunden (inkl. Zuleitung und Anmeldung)</t>
  </si>
  <si>
    <t xml:space="preserve">V</t>
  </si>
  <si>
    <t xml:space="preserve">B7</t>
  </si>
  <si>
    <t xml:space="preserve">wp</t>
  </si>
  <si>
    <t xml:space="preserve">B8</t>
  </si>
  <si>
    <t xml:space="preserve">pv</t>
  </si>
  <si>
    <t xml:space="preserve">B9</t>
  </si>
  <si>
    <t xml:space="preserve">klima</t>
  </si>
  <si>
    <t xml:space="preserve">B10</t>
  </si>
  <si>
    <t xml:space="preserve">smart</t>
  </si>
  <si>
    <t xml:space="preserve">B11</t>
  </si>
  <si>
    <t xml:space="preserve">elektro</t>
  </si>
  <si>
    <t xml:space="preserve">B12</t>
  </si>
  <si>
    <t xml:space="preserve">shop</t>
  </si>
  <si>
    <t xml:space="preserve">B13</t>
  </si>
  <si>
    <t xml:space="preserve">chat</t>
  </si>
  <si>
    <t xml:space="preserve">F</t>
  </si>
  <si>
    <t xml:space="preserve">B17</t>
  </si>
  <si>
    <t xml:space="preserve">allgemein.stundensatz</t>
  </si>
  <si>
    <t xml:space="preserve">num</t>
  </si>
  <si>
    <t xml:space="preserve">B18</t>
  </si>
  <si>
    <t xml:space="preserve">allgemein.anfahrt</t>
  </si>
  <si>
    <t xml:space="preserve">B19</t>
  </si>
  <si>
    <t xml:space="preserve">allgemein.mwst</t>
  </si>
  <si>
    <t xml:space="preserve">pct</t>
  </si>
  <si>
    <t xml:space="preserve">B20</t>
  </si>
  <si>
    <t xml:space="preserve">allgemein.spanne</t>
  </si>
  <si>
    <t xml:space="preserve">B21</t>
  </si>
  <si>
    <t xml:space="preserve">allgemein.gueltig_tage</t>
  </si>
  <si>
    <t xml:space="preserve">B26</t>
  </si>
  <si>
    <t xml:space="preserve">foerderung.grund</t>
  </si>
  <si>
    <t xml:space="preserve">B27</t>
  </si>
  <si>
    <t xml:space="preserve">foerderung.kgb</t>
  </si>
  <si>
    <t xml:space="preserve">B28</t>
  </si>
  <si>
    <t xml:space="preserve">foerderung.max</t>
  </si>
  <si>
    <t xml:space="preserve">B29</t>
  </si>
  <si>
    <t xml:space="preserve">foerderung.max_einkommen</t>
  </si>
  <si>
    <t xml:space="preserve">B30</t>
  </si>
  <si>
    <t xml:space="preserve">foerderung.kosten_max</t>
  </si>
  <si>
    <t xml:space="preserve">B4</t>
  </si>
  <si>
    <t xml:space="preserve">T</t>
  </si>
  <si>
    <t xml:space="preserve">9:37</t>
  </si>
  <si>
    <t xml:space="preserve">klima.geraete_single</t>
  </si>
  <si>
    <t xml:space="preserve">aktiv|bool,hersteller|text,modell|text,kw|num,klasse|sel|std=Standard;pre=Premium,preis|num,ek_kuehl|sel|=–;A+++=A+++;A++=A++;A+=A+;A=A;B=B;C=C;D=D,ek_heiz|sel|=–;A+++=A+++;A++=A++;A+=A+;A=A;B=B;C=C;D=D,seer|num,scop|num,schall|num,kaeltemittel|text,label|text,datenblatt|text</t>
  </si>
  <si>
    <t xml:space="preserve">43:62</t>
  </si>
  <si>
    <t xml:space="preserve">klima.innengeraete_multi</t>
  </si>
  <si>
    <t xml:space="preserve">aktiv|bool,hersteller|text,modell|text,kw|num,klasse|sel|std=Standard;pre=Premium,preis|num,schall|num,kaeltemittel|text,datenblatt|text</t>
  </si>
  <si>
    <t xml:space="preserve">67:83</t>
  </si>
  <si>
    <t xml:space="preserve">klima.aussengeraete_multi</t>
  </si>
  <si>
    <t xml:space="preserve">aktiv|bool,hersteller|text,modell|text,anschluesse|num,kw|num,preis|num,ek_kuehl|sel|=–;A+++=A+++;A++=A++;A+=A+;A=A;B=B;C=C;D=D,ek_heiz|sel|=–;A+++=A+++;A++=A++;A+=A+;A=A;B=B;C=C;D=D,seer|num,scop|num,kaeltemittel|text,label|text,datenblatt|text</t>
  </si>
  <si>
    <t xml:space="preserve">B88</t>
  </si>
  <si>
    <t xml:space="preserve">klima.arbeit.single_h</t>
  </si>
  <si>
    <t xml:space="preserve">B89</t>
  </si>
  <si>
    <t xml:space="preserve">klima.arbeit.multi_basis_h</t>
  </si>
  <si>
    <t xml:space="preserve">B90</t>
  </si>
  <si>
    <t xml:space="preserve">klima.arbeit.multi_je_innen_h</t>
  </si>
  <si>
    <t xml:space="preserve">B91</t>
  </si>
  <si>
    <t xml:space="preserve">klima.arbeit.leitung_m_h</t>
  </si>
  <si>
    <t xml:space="preserve">B92</t>
  </si>
  <si>
    <t xml:space="preserve">klima.arbeit.kernbohrung_h</t>
  </si>
  <si>
    <t xml:space="preserve">B93</t>
  </si>
  <si>
    <t xml:space="preserve">klima.arbeit.pumpe_h</t>
  </si>
  <si>
    <t xml:space="preserve">B94</t>
  </si>
  <si>
    <t xml:space="preserve">klima.arbeit.stromkreis_h</t>
  </si>
  <si>
    <t xml:space="preserve">B95</t>
  </si>
  <si>
    <t xml:space="preserve">klima.arbeit.konsole_h</t>
  </si>
  <si>
    <t xml:space="preserve">B99</t>
  </si>
  <si>
    <t xml:space="preserve">klima.material.grund_single</t>
  </si>
  <si>
    <t xml:space="preserve">B100</t>
  </si>
  <si>
    <t xml:space="preserve">klima.material.grund_je_innen</t>
  </si>
  <si>
    <t xml:space="preserve">B101</t>
  </si>
  <si>
    <t xml:space="preserve">klima.material.leitung_m</t>
  </si>
  <si>
    <t xml:space="preserve">B102</t>
  </si>
  <si>
    <t xml:space="preserve">klima.material.bodenkonsole</t>
  </si>
  <si>
    <t xml:space="preserve">B103</t>
  </si>
  <si>
    <t xml:space="preserve">klima.material.dachgestell</t>
  </si>
  <si>
    <t xml:space="preserve">B104</t>
  </si>
  <si>
    <t xml:space="preserve">klima.material.kernbohrung</t>
  </si>
  <si>
    <t xml:space="preserve">B105</t>
  </si>
  <si>
    <t xml:space="preserve">klima.material.pumpe</t>
  </si>
  <si>
    <t xml:space="preserve">B106</t>
  </si>
  <si>
    <t xml:space="preserve">klima.material.stromkreis</t>
  </si>
  <si>
    <t xml:space="preserve">B110</t>
  </si>
  <si>
    <t xml:space="preserve">klima.wartung_jahr</t>
  </si>
  <si>
    <t xml:space="preserve">B111</t>
  </si>
  <si>
    <t xml:space="preserve">klima.kw_je_m2</t>
  </si>
  <si>
    <t xml:space="preserve">9:18</t>
  </si>
  <si>
    <t xml:space="preserve">wp.geraete</t>
  </si>
  <si>
    <t xml:space="preserve">aktiv|bool,hersteller|text,modell|text,kw|num,preis|num,ek|sel|=–;A+++=A+++;A++=A++;A+=A+;A=A;B=B;C=C;D=D,label|text,datenblatt|text</t>
  </si>
  <si>
    <t xml:space="preserve">B23</t>
  </si>
  <si>
    <t xml:space="preserve">wp.arbeit.montage_h</t>
  </si>
  <si>
    <t xml:space="preserve">B24</t>
  </si>
  <si>
    <t xml:space="preserve">wp.arbeit.demontage_oel_h</t>
  </si>
  <si>
    <t xml:space="preserve">B25</t>
  </si>
  <si>
    <t xml:space="preserve">wp.arbeit.demontage_gas_h</t>
  </si>
  <si>
    <t xml:space="preserve">wp.arbeit.demontage_ns_h</t>
  </si>
  <si>
    <t xml:space="preserve">wp.arbeit.heizkoerper_h</t>
  </si>
  <si>
    <t xml:space="preserve">wp.arbeit.zaehler_h</t>
  </si>
  <si>
    <t xml:space="preserve">B32</t>
  </si>
  <si>
    <t xml:space="preserve">wp.material.hydraulik_paket</t>
  </si>
  <si>
    <t xml:space="preserve">B33</t>
  </si>
  <si>
    <t xml:space="preserve">wp.material.entsorgung_oel</t>
  </si>
  <si>
    <t xml:space="preserve">B34</t>
  </si>
  <si>
    <t xml:space="preserve">wp.material.entsorgung_gas</t>
  </si>
  <si>
    <t xml:space="preserve">B35</t>
  </si>
  <si>
    <t xml:space="preserve">wp.material.entsorgung_ns</t>
  </si>
  <si>
    <t xml:space="preserve">B36</t>
  </si>
  <si>
    <t xml:space="preserve">wp.material.heizkoerper</t>
  </si>
  <si>
    <t xml:space="preserve">B37</t>
  </si>
  <si>
    <t xml:space="preserve">wp.material.zaehler</t>
  </si>
  <si>
    <t xml:space="preserve">B41</t>
  </si>
  <si>
    <t xml:space="preserve">wp.ww_kw_je_person</t>
  </si>
  <si>
    <t xml:space="preserve">9:15</t>
  </si>
  <si>
    <t xml:space="preserve">pv.module</t>
  </si>
  <si>
    <t xml:space="preserve">aktiv|bool,hersteller|text,modell|text,wp|num,preis|num</t>
  </si>
  <si>
    <t xml:space="preserve">21:30</t>
  </si>
  <si>
    <t xml:space="preserve">pv.wechselrichter</t>
  </si>
  <si>
    <t xml:space="preserve">aktiv|bool,hersteller|text,modell|text,kw|num,preis|num</t>
  </si>
  <si>
    <t xml:space="preserve">36:43</t>
  </si>
  <si>
    <t xml:space="preserve">pv.speicher</t>
  </si>
  <si>
    <t xml:space="preserve">aktiv|bool,hersteller|text,modell|text,kwh|num,preis|num</t>
  </si>
  <si>
    <t xml:space="preserve">B49</t>
  </si>
  <si>
    <t xml:space="preserve">pv.wallbox_h</t>
  </si>
  <si>
    <t xml:space="preserve">B53</t>
  </si>
  <si>
    <t xml:space="preserve">pv.arbeit.basis_h</t>
  </si>
  <si>
    <t xml:space="preserve">B54</t>
  </si>
  <si>
    <t xml:space="preserve">pv.arbeit.je_modul_h</t>
  </si>
  <si>
    <t xml:space="preserve">B55</t>
  </si>
  <si>
    <t xml:space="preserve">pv.arbeit.speicher_h</t>
  </si>
  <si>
    <t xml:space="preserve">B56</t>
  </si>
  <si>
    <t xml:space="preserve">pv.arbeit.notstrom_h</t>
  </si>
  <si>
    <t xml:space="preserve">B60</t>
  </si>
  <si>
    <t xml:space="preserve">pv.material.unterkonstruktion_je_modul</t>
  </si>
  <si>
    <t xml:space="preserve">B61</t>
  </si>
  <si>
    <t xml:space="preserve">pv.material.kabel_kleinmaterial</t>
  </si>
  <si>
    <t xml:space="preserve">B62</t>
  </si>
  <si>
    <t xml:space="preserve">pv.material.geruest</t>
  </si>
  <si>
    <t xml:space="preserve">B63</t>
  </si>
  <si>
    <t xml:space="preserve">pv.material.zaehlerschrank</t>
  </si>
  <si>
    <t xml:space="preserve">B64</t>
  </si>
  <si>
    <t xml:space="preserve">pv.material.anmeldung</t>
  </si>
  <si>
    <t xml:space="preserve">B65</t>
  </si>
  <si>
    <t xml:space="preserve">pv.material.notstrom</t>
  </si>
  <si>
    <t xml:space="preserve">B69</t>
  </si>
  <si>
    <t xml:space="preserve">pv.ertrag_je_kwp</t>
  </si>
  <si>
    <t xml:space="preserve">B70</t>
  </si>
  <si>
    <t xml:space="preserve">pv.strompreis</t>
  </si>
  <si>
    <t xml:space="preserve">B71</t>
  </si>
  <si>
    <t xml:space="preserve">pv.einspeisung</t>
  </si>
  <si>
    <t xml:space="preserve">smart.loxone.name</t>
  </si>
  <si>
    <t xml:space="preserve">txt</t>
  </si>
  <si>
    <t xml:space="preserve">smart.loxone.zentrale.preis</t>
  </si>
  <si>
    <t xml:space="preserve">smart.loxone.zentrale.h</t>
  </si>
  <si>
    <t xml:space="preserve">smart.loxone.licht.preis</t>
  </si>
  <si>
    <t xml:space="preserve">smart.loxone.licht.h</t>
  </si>
  <si>
    <t xml:space="preserve">smart.loxone.heizung.preis</t>
  </si>
  <si>
    <t xml:space="preserve">B14</t>
  </si>
  <si>
    <t xml:space="preserve">smart.loxone.heizung.h</t>
  </si>
  <si>
    <t xml:space="preserve">B15</t>
  </si>
  <si>
    <t xml:space="preserve">smart.loxone.rollladen.preis</t>
  </si>
  <si>
    <t xml:space="preserve">B16</t>
  </si>
  <si>
    <t xml:space="preserve">smart.loxone.rollladen.h</t>
  </si>
  <si>
    <t xml:space="preserve">smart.loxone.sicherheit.preis</t>
  </si>
  <si>
    <t xml:space="preserve">smart.loxone.sicherheit.h</t>
  </si>
  <si>
    <t xml:space="preserve">B22</t>
  </si>
  <si>
    <t xml:space="preserve">smart.funk.name</t>
  </si>
  <si>
    <t xml:space="preserve">smart.funk.zentrale.preis</t>
  </si>
  <si>
    <t xml:space="preserve">smart.funk.zentrale.h</t>
  </si>
  <si>
    <t xml:space="preserve">smart.funk.licht.preis</t>
  </si>
  <si>
    <t xml:space="preserve">smart.funk.licht.h</t>
  </si>
  <si>
    <t xml:space="preserve">smart.funk.heizung.preis</t>
  </si>
  <si>
    <t xml:space="preserve">smart.funk.heizung.h</t>
  </si>
  <si>
    <t xml:space="preserve">smart.funk.rollladen.preis</t>
  </si>
  <si>
    <t xml:space="preserve">smart.funk.rollladen.h</t>
  </si>
  <si>
    <t xml:space="preserve">B31</t>
  </si>
  <si>
    <t xml:space="preserve">smart.funk.sicherheit.preis</t>
  </si>
  <si>
    <t xml:space="preserve">smart.funk.sicherheit.h</t>
  </si>
  <si>
    <t xml:space="preserve">smart.knx.name</t>
  </si>
  <si>
    <t xml:space="preserve">smart.knx.zentrale.preis</t>
  </si>
  <si>
    <t xml:space="preserve">B38</t>
  </si>
  <si>
    <t xml:space="preserve">smart.knx.zentrale.h</t>
  </si>
  <si>
    <t xml:space="preserve">B39</t>
  </si>
  <si>
    <t xml:space="preserve">smart.knx.licht.preis</t>
  </si>
  <si>
    <t xml:space="preserve">B40</t>
  </si>
  <si>
    <t xml:space="preserve">smart.knx.licht.h</t>
  </si>
  <si>
    <t xml:space="preserve">smart.knx.heizung.preis</t>
  </si>
  <si>
    <t xml:space="preserve">B42</t>
  </si>
  <si>
    <t xml:space="preserve">smart.knx.heizung.h</t>
  </si>
  <si>
    <t xml:space="preserve">B43</t>
  </si>
  <si>
    <t xml:space="preserve">smart.knx.rollladen.preis</t>
  </si>
  <si>
    <t xml:space="preserve">B44</t>
  </si>
  <si>
    <t xml:space="preserve">smart.knx.rollladen.h</t>
  </si>
  <si>
    <t xml:space="preserve">B45</t>
  </si>
  <si>
    <t xml:space="preserve">smart.knx.sicherheit.preis</t>
  </si>
  <si>
    <t xml:space="preserve">B46</t>
  </si>
  <si>
    <t xml:space="preserve">smart.knx.sicherheit.h</t>
  </si>
  <si>
    <t xml:space="preserve">9:16</t>
  </si>
  <si>
    <t xml:space="preserve">shop.partner</t>
  </si>
  <si>
    <t xml:space="preserve">aktiv|bool,name|text</t>
  </si>
  <si>
    <t xml:space="preserve">22:34</t>
  </si>
  <si>
    <t xml:space="preserve">shop.produkte</t>
  </si>
  <si>
    <t xml:space="preserve">aktiv|bool,partner|psel,kategorie|text,modell|text,info|text,preis|num,montage|num,ek|sel|=–;A+++=A+++;A++=A++;A+=A+;A=A;B=B;C=C;D=D;E=E;F=F;G=G,skala|sel|neu=A–G (nuova);alt=A+++–D,label|text,datenblatt|text</t>
  </si>
  <si>
    <t xml:space="preserve">shop.lieferung</t>
  </si>
  <si>
    <t xml:space="preserve">shop.altgeraet</t>
  </si>
  <si>
    <t xml:space="preserve">shop.lieferzeit</t>
  </si>
  <si>
    <t xml:space="preserve">shop.liefergebiet</t>
  </si>
  <si>
    <t xml:space="preserve">shop.zahlung</t>
  </si>
  <si>
    <t xml:space="preserve">elektro.neu.material_m2</t>
  </si>
  <si>
    <t xml:space="preserve">elektro.neu.h_je_m2</t>
  </si>
  <si>
    <t xml:space="preserve">elektro.san.material_m2</t>
  </si>
  <si>
    <t xml:space="preserve">elektro.san.h_je_m2</t>
  </si>
  <si>
    <t xml:space="preserve">elektro.teil.material_m2</t>
  </si>
  <si>
    <t xml:space="preserve">elektro.teil.h_je_m2</t>
  </si>
  <si>
    <t xml:space="preserve">elektro.zaehlerschrank.preis</t>
  </si>
  <si>
    <t xml:space="preserve">elektro.zaehlerschrank.h</t>
  </si>
  <si>
    <t xml:space="preserve">elektro.lan.preis</t>
  </si>
  <si>
    <t xml:space="preserve">elektro.lan.h</t>
  </si>
  <si>
    <t xml:space="preserve">elektro.ueberspannung.preis</t>
  </si>
  <si>
    <t xml:space="preserve">elektro.ueberspannung.h</t>
  </si>
  <si>
    <t xml:space="preserve">elektro.echeck.preis</t>
  </si>
  <si>
    <t xml:space="preserve">elektro.echeck.h</t>
  </si>
  <si>
    <t xml:space="preserve">29:37</t>
  </si>
  <si>
    <t xml:space="preserve">wallboxen</t>
  </si>
  <si>
    <t xml:space="preserve">elektro.wallbox_h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</si>
</sst>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0%"/>
    <numFmt numFmtId="167" formatCode="0"/>
    <numFmt numFmtId="168" formatCode="#,##0.00"/>
    <numFmt numFmtId="169" formatCode="0.000&quot; €&quot;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200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FF1F2328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3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23.8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5" t="s">
        <v>15</v>
      </c>
    </row>
    <row r="20" customFormat="false" ht="15" hidden="false" customHeight="false" outlineLevel="0" collapsed="false">
      <c r="A20" s="6" t="s">
        <v>16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3" t="s">
        <v>19</v>
      </c>
    </row>
    <row r="5" customFormat="false" ht="15" hidden="false" customHeight="false" outlineLevel="0" collapsed="false">
      <c r="A5" s="2" t="s">
        <v>20</v>
      </c>
    </row>
    <row r="6" customFormat="false" ht="15" hidden="false" customHeight="false" outlineLevel="0" collapsed="false">
      <c r="A6" s="7" t="s">
        <v>21</v>
      </c>
      <c r="B6" s="7" t="s">
        <v>22</v>
      </c>
    </row>
    <row r="7" customFormat="false" ht="15" hidden="false" customHeight="false" outlineLevel="0" collapsed="false">
      <c r="A7" s="8" t="s">
        <v>23</v>
      </c>
      <c r="B7" s="5" t="s">
        <v>24</v>
      </c>
    </row>
    <row r="8" customFormat="false" ht="15" hidden="false" customHeight="false" outlineLevel="0" collapsed="false">
      <c r="A8" s="8" t="s">
        <v>25</v>
      </c>
      <c r="B8" s="5" t="s">
        <v>24</v>
      </c>
    </row>
    <row r="9" customFormat="false" ht="15" hidden="false" customHeight="false" outlineLevel="0" collapsed="false">
      <c r="A9" s="8" t="s">
        <v>26</v>
      </c>
      <c r="B9" s="5" t="s">
        <v>24</v>
      </c>
    </row>
    <row r="10" customFormat="false" ht="15" hidden="false" customHeight="false" outlineLevel="0" collapsed="false">
      <c r="A10" s="8" t="s">
        <v>27</v>
      </c>
      <c r="B10" s="5" t="s">
        <v>24</v>
      </c>
    </row>
    <row r="11" customFormat="false" ht="15" hidden="false" customHeight="false" outlineLevel="0" collapsed="false">
      <c r="A11" s="8" t="s">
        <v>28</v>
      </c>
      <c r="B11" s="5" t="s">
        <v>24</v>
      </c>
    </row>
    <row r="12" customFormat="false" ht="15" hidden="false" customHeight="false" outlineLevel="0" collapsed="false">
      <c r="A12" s="8" t="s">
        <v>29</v>
      </c>
      <c r="B12" s="5" t="s">
        <v>24</v>
      </c>
    </row>
    <row r="13" customFormat="false" ht="15" hidden="false" customHeight="false" outlineLevel="0" collapsed="false">
      <c r="A13" s="8" t="s">
        <v>30</v>
      </c>
      <c r="B13" s="5" t="s">
        <v>24</v>
      </c>
    </row>
    <row r="15" customFormat="false" ht="15" hidden="false" customHeight="false" outlineLevel="0" collapsed="false">
      <c r="A15" s="3" t="s">
        <v>31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36</v>
      </c>
    </row>
    <row r="17" customFormat="false" ht="15" hidden="false" customHeight="false" outlineLevel="0" collapsed="false">
      <c r="A17" s="8" t="s">
        <v>37</v>
      </c>
      <c r="B17" s="9" t="n">
        <v>68</v>
      </c>
      <c r="C17" s="8" t="s">
        <v>38</v>
      </c>
    </row>
    <row r="18" customFormat="false" ht="15" hidden="false" customHeight="false" outlineLevel="0" collapsed="false">
      <c r="A18" s="8" t="s">
        <v>39</v>
      </c>
      <c r="B18" s="9" t="n">
        <v>45</v>
      </c>
      <c r="C18" s="8" t="s">
        <v>40</v>
      </c>
    </row>
    <row r="19" customFormat="false" ht="15" hidden="false" customHeight="false" outlineLevel="0" collapsed="false">
      <c r="A19" s="8" t="s">
        <v>41</v>
      </c>
      <c r="B19" s="10" t="n">
        <v>0.19</v>
      </c>
      <c r="C19" s="8" t="s">
        <v>42</v>
      </c>
    </row>
    <row r="20" customFormat="false" ht="15" hidden="false" customHeight="false" outlineLevel="0" collapsed="false">
      <c r="A20" s="8" t="s">
        <v>43</v>
      </c>
      <c r="B20" s="10" t="n">
        <v>0.08</v>
      </c>
      <c r="C20" s="8" t="s">
        <v>42</v>
      </c>
    </row>
    <row r="21" customFormat="false" ht="15" hidden="false" customHeight="false" outlineLevel="0" collapsed="false">
      <c r="A21" s="8" t="s">
        <v>44</v>
      </c>
      <c r="B21" s="11" t="n">
        <v>30</v>
      </c>
      <c r="C21" s="8" t="s">
        <v>45</v>
      </c>
    </row>
    <row r="23" customFormat="false" ht="15" hidden="false" customHeight="false" outlineLevel="0" collapsed="false">
      <c r="A23" s="3" t="s">
        <v>46</v>
      </c>
    </row>
    <row r="24" customFormat="false" ht="15" hidden="false" customHeight="false" outlineLevel="0" collapsed="false">
      <c r="A24" s="2" t="s">
        <v>47</v>
      </c>
    </row>
    <row r="25" customFormat="false" ht="15" hidden="false" customHeight="false" outlineLevel="0" collapsed="false">
      <c r="A25" s="7" t="s">
        <v>32</v>
      </c>
      <c r="B25" s="7" t="s">
        <v>33</v>
      </c>
      <c r="C25" s="7" t="s">
        <v>34</v>
      </c>
      <c r="D25" s="7" t="s">
        <v>35</v>
      </c>
      <c r="E25" s="7" t="s">
        <v>36</v>
      </c>
    </row>
    <row r="26" customFormat="false" ht="15" hidden="false" customHeight="false" outlineLevel="0" collapsed="false">
      <c r="A26" s="8" t="s">
        <v>48</v>
      </c>
      <c r="B26" s="10" t="n">
        <v>0.3</v>
      </c>
      <c r="C26" s="8" t="s">
        <v>42</v>
      </c>
    </row>
    <row r="27" customFormat="false" ht="15" hidden="false" customHeight="false" outlineLevel="0" collapsed="false">
      <c r="A27" s="8" t="s">
        <v>49</v>
      </c>
      <c r="B27" s="10" t="n">
        <v>0.16</v>
      </c>
      <c r="C27" s="8" t="s">
        <v>42</v>
      </c>
    </row>
    <row r="28" customFormat="false" ht="15" hidden="false" customHeight="false" outlineLevel="0" collapsed="false">
      <c r="A28" s="8" t="s">
        <v>50</v>
      </c>
      <c r="B28" s="10" t="n">
        <v>0.7</v>
      </c>
      <c r="C28" s="8" t="s">
        <v>42</v>
      </c>
    </row>
    <row r="29" customFormat="false" ht="15" hidden="false" customHeight="false" outlineLevel="0" collapsed="false">
      <c r="A29" s="8" t="s">
        <v>51</v>
      </c>
      <c r="B29" s="10" t="n">
        <v>0.8</v>
      </c>
      <c r="C29" s="8" t="s">
        <v>42</v>
      </c>
    </row>
    <row r="30" customFormat="false" ht="15" hidden="false" customHeight="false" outlineLevel="0" collapsed="false">
      <c r="A30" s="8" t="s">
        <v>52</v>
      </c>
      <c r="B30" s="9" t="n">
        <v>28000</v>
      </c>
      <c r="C30" s="8" t="s">
        <v>40</v>
      </c>
    </row>
  </sheetData>
  <dataValidations count="7">
    <dataValidation allowBlank="true" errorStyle="stop" operator="between" showDropDown="false" showErrorMessage="true" showInputMessage="false" sqref="B7" type="list">
      <formula1>"Ja,Nein"</formula1>
      <formula2>0</formula2>
    </dataValidation>
    <dataValidation allowBlank="true" errorStyle="stop" operator="between" showDropDown="false" showErrorMessage="true" showInputMessage="false" sqref="B8" type="list">
      <formula1>"Ja,Nein"</formula1>
      <formula2>0</formula2>
    </dataValidation>
    <dataValidation allowBlank="true" errorStyle="stop" operator="between" showDropDown="false" showErrorMessage="true" showInputMessage="false" sqref="B9" type="list">
      <formula1>"Ja,Nein"</formula1>
      <formula2>0</formula2>
    </dataValidation>
    <dataValidation allowBlank="true" errorStyle="stop" operator="between" showDropDown="false" showErrorMessage="true" showInputMessage="false" sqref="B10" type="list">
      <formula1>"Ja,Nein"</formula1>
      <formula2>0</formula2>
    </dataValidation>
    <dataValidation allowBlank="true" errorStyle="stop" operator="between" showDropDown="false" showErrorMessage="true" showInputMessage="false" sqref="B11" type="list">
      <formula1>"Ja,Nein"</formula1>
      <formula2>0</formula2>
    </dataValidation>
    <dataValidation allowBlank="true" errorStyle="stop" operator="between" showDropDown="false" showErrorMessage="true" showInputMessage="false" sqref="B12" type="list">
      <formula1>"Ja,Nein"</formula1>
      <formula2>0</formula2>
    </dataValidation>
    <dataValidation allowBlank="true" errorStyle="stop" operator="between" showDropDown="false" showErrorMessage="true" showInputMessage="false" sqref="B1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54</v>
      </c>
    </row>
    <row r="7" customFormat="false" ht="15" hidden="false" customHeight="false" outlineLevel="0" collapsed="false">
      <c r="A7" s="2" t="s">
        <v>55</v>
      </c>
    </row>
    <row r="8" customFormat="false" ht="57.4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59</v>
      </c>
      <c r="E8" s="7" t="s">
        <v>60</v>
      </c>
      <c r="F8" s="7" t="s">
        <v>61</v>
      </c>
      <c r="G8" s="7" t="s">
        <v>62</v>
      </c>
      <c r="H8" s="7" t="s">
        <v>63</v>
      </c>
      <c r="I8" s="7" t="s">
        <v>64</v>
      </c>
      <c r="J8" s="7" t="s">
        <v>65</v>
      </c>
      <c r="K8" s="7" t="s">
        <v>66</v>
      </c>
      <c r="L8" s="7" t="s">
        <v>67</v>
      </c>
      <c r="M8" s="7" t="s">
        <v>68</v>
      </c>
      <c r="N8" s="7" t="s">
        <v>69</v>
      </c>
      <c r="O8" s="7" t="s">
        <v>70</v>
      </c>
    </row>
    <row r="9" customFormat="false" ht="15" hidden="false" customHeight="false" outlineLevel="0" collapsed="false">
      <c r="A9" s="5" t="s">
        <v>24</v>
      </c>
      <c r="B9" s="5" t="s">
        <v>71</v>
      </c>
      <c r="C9" s="5" t="s">
        <v>72</v>
      </c>
      <c r="D9" s="12" t="n">
        <v>2.5</v>
      </c>
      <c r="E9" s="5" t="s">
        <v>73</v>
      </c>
      <c r="F9" s="9" t="n">
        <v>990</v>
      </c>
      <c r="G9" s="5" t="s">
        <v>74</v>
      </c>
      <c r="H9" s="5" t="s">
        <v>74</v>
      </c>
      <c r="I9" s="12" t="n">
        <v>7</v>
      </c>
      <c r="J9" s="12" t="n">
        <v>4.6</v>
      </c>
      <c r="K9" s="12" t="n">
        <v>19</v>
      </c>
      <c r="L9" s="5" t="s">
        <v>75</v>
      </c>
      <c r="M9" s="5"/>
      <c r="N9" s="5" t="s">
        <v>76</v>
      </c>
      <c r="O9" s="6" t="n">
        <f aca="false">IF(F9="","",F9*(1+Allgemein!$B$19))</f>
        <v>1178.1</v>
      </c>
    </row>
    <row r="10" customFormat="false" ht="15" hidden="false" customHeight="false" outlineLevel="0" collapsed="false">
      <c r="A10" s="5" t="s">
        <v>24</v>
      </c>
      <c r="B10" s="5" t="s">
        <v>71</v>
      </c>
      <c r="C10" s="5" t="s">
        <v>77</v>
      </c>
      <c r="D10" s="12" t="n">
        <v>3.3</v>
      </c>
      <c r="E10" s="5" t="s">
        <v>73</v>
      </c>
      <c r="F10" s="9" t="n">
        <v>1120</v>
      </c>
      <c r="G10" s="5" t="s">
        <v>74</v>
      </c>
      <c r="H10" s="5" t="s">
        <v>74</v>
      </c>
      <c r="I10" s="12" t="n">
        <v>7</v>
      </c>
      <c r="J10" s="12" t="n">
        <v>4.6</v>
      </c>
      <c r="K10" s="12" t="n">
        <v>20</v>
      </c>
      <c r="L10" s="5" t="s">
        <v>75</v>
      </c>
      <c r="M10" s="5"/>
      <c r="N10" s="5" t="s">
        <v>78</v>
      </c>
      <c r="O10" s="6" t="n">
        <f aca="false">IF(F10="","",F10*(1+Allgemein!$B$19))</f>
        <v>1332.8</v>
      </c>
    </row>
    <row r="11" customFormat="false" ht="15" hidden="false" customHeight="false" outlineLevel="0" collapsed="false">
      <c r="A11" s="5" t="s">
        <v>24</v>
      </c>
      <c r="B11" s="5" t="s">
        <v>71</v>
      </c>
      <c r="C11" s="5" t="s">
        <v>79</v>
      </c>
      <c r="D11" s="12" t="n">
        <v>4.2</v>
      </c>
      <c r="E11" s="5" t="s">
        <v>73</v>
      </c>
      <c r="F11" s="9" t="n">
        <v>1390</v>
      </c>
      <c r="G11" s="5" t="s">
        <v>74</v>
      </c>
      <c r="H11" s="5" t="s">
        <v>74</v>
      </c>
      <c r="I11" s="12" t="n">
        <v>7</v>
      </c>
      <c r="J11" s="12" t="n">
        <v>4.6</v>
      </c>
      <c r="K11" s="12" t="n">
        <v>21</v>
      </c>
      <c r="L11" s="5" t="s">
        <v>75</v>
      </c>
      <c r="M11" s="5"/>
      <c r="N11" s="5" t="s">
        <v>80</v>
      </c>
      <c r="O11" s="6" t="n">
        <f aca="false">IF(F11="","",F11*(1+Allgemein!$B$19))</f>
        <v>1654.1</v>
      </c>
    </row>
    <row r="12" customFormat="false" ht="15" hidden="false" customHeight="false" outlineLevel="0" collapsed="false">
      <c r="A12" s="5" t="s">
        <v>24</v>
      </c>
      <c r="B12" s="5" t="s">
        <v>71</v>
      </c>
      <c r="C12" s="5" t="s">
        <v>81</v>
      </c>
      <c r="D12" s="12" t="n">
        <v>5</v>
      </c>
      <c r="E12" s="5" t="s">
        <v>73</v>
      </c>
      <c r="F12" s="9" t="n">
        <v>1590</v>
      </c>
      <c r="G12" s="5" t="s">
        <v>74</v>
      </c>
      <c r="H12" s="5" t="s">
        <v>82</v>
      </c>
      <c r="I12" s="12" t="n">
        <v>7</v>
      </c>
      <c r="J12" s="12" t="n">
        <v>4.4</v>
      </c>
      <c r="K12" s="12" t="n">
        <v>26</v>
      </c>
      <c r="L12" s="5" t="s">
        <v>75</v>
      </c>
      <c r="M12" s="5"/>
      <c r="N12" s="5" t="s">
        <v>83</v>
      </c>
      <c r="O12" s="6" t="n">
        <f aca="false">IF(F12="","",F12*(1+Allgemein!$B$19))</f>
        <v>1892.1</v>
      </c>
    </row>
    <row r="13" customFormat="false" ht="15" hidden="false" customHeight="false" outlineLevel="0" collapsed="false">
      <c r="A13" s="5" t="s">
        <v>24</v>
      </c>
      <c r="B13" s="5" t="s">
        <v>71</v>
      </c>
      <c r="C13" s="5" t="s">
        <v>84</v>
      </c>
      <c r="D13" s="12" t="n">
        <v>6.5</v>
      </c>
      <c r="E13" s="5" t="s">
        <v>73</v>
      </c>
      <c r="F13" s="9" t="n">
        <v>2090</v>
      </c>
      <c r="G13" s="5" t="s">
        <v>74</v>
      </c>
      <c r="H13" s="5" t="s">
        <v>82</v>
      </c>
      <c r="I13" s="12" t="n">
        <v>6.9</v>
      </c>
      <c r="J13" s="12" t="n">
        <v>4.3</v>
      </c>
      <c r="K13" s="12" t="n">
        <v>29</v>
      </c>
      <c r="L13" s="5" t="s">
        <v>75</v>
      </c>
      <c r="M13" s="5"/>
      <c r="N13" s="5" t="s">
        <v>85</v>
      </c>
      <c r="O13" s="6" t="n">
        <f aca="false">IF(F13="","",F13*(1+Allgemein!$B$19))</f>
        <v>2487.1</v>
      </c>
    </row>
    <row r="14" customFormat="false" ht="15" hidden="false" customHeight="false" outlineLevel="0" collapsed="false">
      <c r="A14" s="5" t="s">
        <v>24</v>
      </c>
      <c r="B14" s="5" t="s">
        <v>71</v>
      </c>
      <c r="C14" s="5" t="s">
        <v>86</v>
      </c>
      <c r="D14" s="12" t="n">
        <v>2.5</v>
      </c>
      <c r="E14" s="5" t="s">
        <v>87</v>
      </c>
      <c r="F14" s="9" t="n">
        <v>1390</v>
      </c>
      <c r="G14" s="5" t="s">
        <v>88</v>
      </c>
      <c r="H14" s="5" t="s">
        <v>88</v>
      </c>
      <c r="I14" s="12" t="n">
        <v>8.6</v>
      </c>
      <c r="J14" s="12" t="n">
        <v>5.1</v>
      </c>
      <c r="K14" s="12" t="n">
        <v>19</v>
      </c>
      <c r="L14" s="5" t="s">
        <v>75</v>
      </c>
      <c r="M14" s="5"/>
      <c r="N14" s="5" t="s">
        <v>89</v>
      </c>
      <c r="O14" s="6" t="n">
        <f aca="false">IF(F14="","",F14*(1+Allgemein!$B$19))</f>
        <v>1654.1</v>
      </c>
    </row>
    <row r="15" customFormat="false" ht="15" hidden="false" customHeight="false" outlineLevel="0" collapsed="false">
      <c r="A15" s="5" t="s">
        <v>24</v>
      </c>
      <c r="B15" s="5" t="s">
        <v>71</v>
      </c>
      <c r="C15" s="5" t="s">
        <v>90</v>
      </c>
      <c r="D15" s="12" t="n">
        <v>3.5</v>
      </c>
      <c r="E15" s="5" t="s">
        <v>87</v>
      </c>
      <c r="F15" s="9" t="n">
        <v>1550</v>
      </c>
      <c r="G15" s="5" t="s">
        <v>88</v>
      </c>
      <c r="H15" s="5" t="s">
        <v>88</v>
      </c>
      <c r="I15" s="12" t="n">
        <v>8.6</v>
      </c>
      <c r="J15" s="12" t="n">
        <v>5.1</v>
      </c>
      <c r="K15" s="12" t="n">
        <v>19</v>
      </c>
      <c r="L15" s="5" t="s">
        <v>75</v>
      </c>
      <c r="M15" s="5"/>
      <c r="N15" s="5" t="s">
        <v>91</v>
      </c>
      <c r="O15" s="6" t="n">
        <f aca="false">IF(F15="","",F15*(1+Allgemein!$B$19))</f>
        <v>1844.5</v>
      </c>
    </row>
    <row r="16" customFormat="false" ht="15" hidden="false" customHeight="false" outlineLevel="0" collapsed="false">
      <c r="A16" s="5" t="s">
        <v>24</v>
      </c>
      <c r="B16" s="5" t="s">
        <v>71</v>
      </c>
      <c r="C16" s="5" t="s">
        <v>92</v>
      </c>
      <c r="D16" s="12" t="n">
        <v>4.6</v>
      </c>
      <c r="E16" s="5" t="s">
        <v>87</v>
      </c>
      <c r="F16" s="9" t="n">
        <v>1790</v>
      </c>
      <c r="G16" s="5" t="s">
        <v>74</v>
      </c>
      <c r="H16" s="5" t="s">
        <v>88</v>
      </c>
      <c r="I16" s="12" t="n">
        <v>7.8</v>
      </c>
      <c r="J16" s="12" t="n">
        <v>4.6</v>
      </c>
      <c r="K16" s="12" t="n">
        <v>22</v>
      </c>
      <c r="L16" s="5" t="s">
        <v>75</v>
      </c>
      <c r="M16" s="5"/>
      <c r="N16" s="5" t="s">
        <v>93</v>
      </c>
      <c r="O16" s="6" t="n">
        <f aca="false">IF(F16="","",F16*(1+Allgemein!$B$19))</f>
        <v>2130.1</v>
      </c>
    </row>
    <row r="17" customFormat="false" ht="15" hidden="false" customHeight="false" outlineLevel="0" collapsed="false">
      <c r="A17" s="5" t="s">
        <v>24</v>
      </c>
      <c r="B17" s="5" t="s">
        <v>71</v>
      </c>
      <c r="C17" s="5" t="s">
        <v>94</v>
      </c>
      <c r="D17" s="12" t="n">
        <v>5</v>
      </c>
      <c r="E17" s="5" t="s">
        <v>87</v>
      </c>
      <c r="F17" s="9" t="n">
        <v>1990</v>
      </c>
      <c r="G17" s="5" t="s">
        <v>74</v>
      </c>
      <c r="H17" s="5" t="s">
        <v>88</v>
      </c>
      <c r="I17" s="12" t="n">
        <v>7.3</v>
      </c>
      <c r="J17" s="12" t="n">
        <v>4.6</v>
      </c>
      <c r="K17" s="12" t="n">
        <v>26</v>
      </c>
      <c r="L17" s="5" t="s">
        <v>75</v>
      </c>
      <c r="M17" s="5"/>
      <c r="N17" s="5" t="s">
        <v>95</v>
      </c>
      <c r="O17" s="6" t="n">
        <f aca="false">IF(F17="","",F17*(1+Allgemein!$B$19))</f>
        <v>2368.1</v>
      </c>
    </row>
    <row r="18" customFormat="false" ht="15" hidden="false" customHeight="false" outlineLevel="0" collapsed="false">
      <c r="A18" s="5" t="s">
        <v>24</v>
      </c>
      <c r="B18" s="5" t="s">
        <v>71</v>
      </c>
      <c r="C18" s="5" t="s">
        <v>96</v>
      </c>
      <c r="D18" s="12" t="n">
        <v>6.1</v>
      </c>
      <c r="E18" s="5" t="s">
        <v>87</v>
      </c>
      <c r="F18" s="9" t="n">
        <v>2290</v>
      </c>
      <c r="G18" s="5" t="s">
        <v>74</v>
      </c>
      <c r="H18" s="5" t="s">
        <v>88</v>
      </c>
      <c r="I18" s="12" t="n">
        <v>7.3</v>
      </c>
      <c r="J18" s="12" t="n">
        <v>4.6</v>
      </c>
      <c r="K18" s="12" t="n">
        <v>27</v>
      </c>
      <c r="L18" s="5" t="s">
        <v>75</v>
      </c>
      <c r="M18" s="5"/>
      <c r="N18" s="5" t="s">
        <v>97</v>
      </c>
      <c r="O18" s="6" t="n">
        <f aca="false">IF(F18="","",F18*(1+Allgemein!$B$19))</f>
        <v>2725.1</v>
      </c>
    </row>
    <row r="19" customFormat="false" ht="15" hidden="false" customHeight="false" outlineLevel="0" collapsed="false">
      <c r="A19" s="5" t="s">
        <v>24</v>
      </c>
      <c r="B19" s="5" t="s">
        <v>71</v>
      </c>
      <c r="C19" s="5" t="s">
        <v>98</v>
      </c>
      <c r="D19" s="12" t="n">
        <v>7</v>
      </c>
      <c r="E19" s="5" t="s">
        <v>87</v>
      </c>
      <c r="F19" s="9" t="n">
        <v>2490</v>
      </c>
      <c r="G19" s="5" t="s">
        <v>74</v>
      </c>
      <c r="H19" s="5" t="s">
        <v>88</v>
      </c>
      <c r="I19" s="12" t="n">
        <v>6.3</v>
      </c>
      <c r="J19" s="12" t="n">
        <v>4.1</v>
      </c>
      <c r="K19" s="12" t="n">
        <v>28</v>
      </c>
      <c r="L19" s="5" t="s">
        <v>75</v>
      </c>
      <c r="M19" s="5"/>
      <c r="N19" s="5" t="s">
        <v>99</v>
      </c>
      <c r="O19" s="6" t="n">
        <f aca="false">IF(F19="","",F19*(1+Allgemein!$B$19))</f>
        <v>2963.1</v>
      </c>
    </row>
    <row r="20" customFormat="false" ht="15" hidden="false" customHeight="false" outlineLevel="0" collapsed="false">
      <c r="A20" s="5" t="s">
        <v>24</v>
      </c>
      <c r="B20" s="5" t="s">
        <v>71</v>
      </c>
      <c r="C20" s="5" t="s">
        <v>100</v>
      </c>
      <c r="D20" s="12" t="n">
        <v>2.5</v>
      </c>
      <c r="E20" s="5" t="s">
        <v>87</v>
      </c>
      <c r="F20" s="9" t="n">
        <v>2190</v>
      </c>
      <c r="G20" s="5" t="s">
        <v>88</v>
      </c>
      <c r="H20" s="5" t="s">
        <v>88</v>
      </c>
      <c r="I20" s="12" t="n">
        <v>10.7</v>
      </c>
      <c r="J20" s="12" t="n">
        <v>5.3</v>
      </c>
      <c r="K20" s="12" t="n">
        <v>24</v>
      </c>
      <c r="L20" s="5" t="s">
        <v>75</v>
      </c>
      <c r="M20" s="5"/>
      <c r="N20" s="5" t="s">
        <v>101</v>
      </c>
      <c r="O20" s="6" t="n">
        <f aca="false">IF(F20="","",F20*(1+Allgemein!$B$19))</f>
        <v>2606.1</v>
      </c>
    </row>
    <row r="21" customFormat="false" ht="15" hidden="false" customHeight="false" outlineLevel="0" collapsed="false">
      <c r="A21" s="5" t="s">
        <v>24</v>
      </c>
      <c r="B21" s="5" t="s">
        <v>71</v>
      </c>
      <c r="C21" s="5" t="s">
        <v>102</v>
      </c>
      <c r="D21" s="12" t="n">
        <v>3.5</v>
      </c>
      <c r="E21" s="5" t="s">
        <v>87</v>
      </c>
      <c r="F21" s="9" t="n">
        <v>2390</v>
      </c>
      <c r="G21" s="5" t="s">
        <v>88</v>
      </c>
      <c r="H21" s="5" t="s">
        <v>88</v>
      </c>
      <c r="I21" s="12" t="n">
        <v>9.7</v>
      </c>
      <c r="J21" s="12" t="n">
        <v>5.2</v>
      </c>
      <c r="K21" s="12" t="n">
        <v>26</v>
      </c>
      <c r="L21" s="5" t="s">
        <v>75</v>
      </c>
      <c r="M21" s="5"/>
      <c r="N21" s="5" t="s">
        <v>103</v>
      </c>
      <c r="O21" s="6" t="n">
        <f aca="false">IF(F21="","",F21*(1+Allgemein!$B$19))</f>
        <v>2844.1</v>
      </c>
    </row>
    <row r="22" customFormat="false" ht="15" hidden="false" customHeight="false" outlineLevel="0" collapsed="false">
      <c r="A22" s="5" t="s">
        <v>24</v>
      </c>
      <c r="B22" s="5" t="s">
        <v>71</v>
      </c>
      <c r="C22" s="5" t="s">
        <v>104</v>
      </c>
      <c r="D22" s="12" t="n">
        <v>5</v>
      </c>
      <c r="E22" s="5" t="s">
        <v>87</v>
      </c>
      <c r="F22" s="9" t="n">
        <v>2890</v>
      </c>
      <c r="G22" s="5" t="s">
        <v>88</v>
      </c>
      <c r="H22" s="5" t="s">
        <v>74</v>
      </c>
      <c r="I22" s="12" t="n">
        <v>8.6</v>
      </c>
      <c r="J22" s="12" t="n">
        <v>4.8</v>
      </c>
      <c r="K22" s="12" t="n">
        <v>25</v>
      </c>
      <c r="L22" s="5" t="s">
        <v>75</v>
      </c>
      <c r="M22" s="5"/>
      <c r="N22" s="5" t="s">
        <v>105</v>
      </c>
      <c r="O22" s="6" t="n">
        <f aca="false">IF(F22="","",F22*(1+Allgemein!$B$19))</f>
        <v>3439.1</v>
      </c>
    </row>
    <row r="23" customFormat="false" ht="15" hidden="false" customHeight="false" outlineLevel="0" collapsed="false">
      <c r="A23" s="5" t="s">
        <v>24</v>
      </c>
      <c r="B23" s="5" t="s">
        <v>106</v>
      </c>
      <c r="C23" s="5" t="s">
        <v>107</v>
      </c>
      <c r="D23" s="12" t="n">
        <v>2.5</v>
      </c>
      <c r="E23" s="5" t="s">
        <v>73</v>
      </c>
      <c r="F23" s="9" t="n">
        <v>1150</v>
      </c>
      <c r="G23" s="5" t="s">
        <v>74</v>
      </c>
      <c r="H23" s="5" t="s">
        <v>74</v>
      </c>
      <c r="I23" s="12" t="n">
        <v>7.2</v>
      </c>
      <c r="J23" s="12" t="n">
        <v>4.61</v>
      </c>
      <c r="K23" s="12" t="n">
        <v>19</v>
      </c>
      <c r="L23" s="5" t="s">
        <v>75</v>
      </c>
      <c r="M23" s="5"/>
      <c r="N23" s="5" t="s">
        <v>108</v>
      </c>
      <c r="O23" s="6" t="n">
        <f aca="false">IF(F23="","",F23*(1+Allgemein!$B$19))</f>
        <v>1368.5</v>
      </c>
    </row>
    <row r="24" customFormat="false" ht="15" hidden="false" customHeight="false" outlineLevel="0" collapsed="false">
      <c r="A24" s="5" t="s">
        <v>24</v>
      </c>
      <c r="B24" s="5" t="s">
        <v>106</v>
      </c>
      <c r="C24" s="5" t="s">
        <v>109</v>
      </c>
      <c r="D24" s="12" t="n">
        <v>3.5</v>
      </c>
      <c r="E24" s="5" t="s">
        <v>73</v>
      </c>
      <c r="F24" s="9" t="n">
        <v>1290</v>
      </c>
      <c r="G24" s="5" t="s">
        <v>74</v>
      </c>
      <c r="H24" s="5" t="s">
        <v>74</v>
      </c>
      <c r="I24" s="12" t="n">
        <v>7.2</v>
      </c>
      <c r="J24" s="12" t="n">
        <v>4.64</v>
      </c>
      <c r="K24" s="12" t="n">
        <v>20</v>
      </c>
      <c r="L24" s="5" t="s">
        <v>75</v>
      </c>
      <c r="M24" s="5"/>
      <c r="N24" s="5" t="s">
        <v>108</v>
      </c>
      <c r="O24" s="6" t="n">
        <f aca="false">IF(F24="","",F24*(1+Allgemein!$B$19))</f>
        <v>1535.1</v>
      </c>
    </row>
    <row r="25" customFormat="false" ht="15" hidden="false" customHeight="false" outlineLevel="0" collapsed="false">
      <c r="A25" s="5" t="s">
        <v>24</v>
      </c>
      <c r="B25" s="5" t="s">
        <v>106</v>
      </c>
      <c r="C25" s="5" t="s">
        <v>110</v>
      </c>
      <c r="D25" s="12" t="n">
        <v>5</v>
      </c>
      <c r="E25" s="5" t="s">
        <v>73</v>
      </c>
      <c r="F25" s="9" t="n">
        <v>1790</v>
      </c>
      <c r="G25" s="5" t="s">
        <v>74</v>
      </c>
      <c r="H25" s="5" t="s">
        <v>82</v>
      </c>
      <c r="I25" s="12" t="n">
        <v>7.1</v>
      </c>
      <c r="J25" s="12" t="n">
        <v>4.3</v>
      </c>
      <c r="K25" s="12" t="n">
        <v>27</v>
      </c>
      <c r="L25" s="5" t="s">
        <v>75</v>
      </c>
      <c r="M25" s="5"/>
      <c r="N25" s="5" t="s">
        <v>111</v>
      </c>
      <c r="O25" s="6" t="n">
        <f aca="false">IF(F25="","",F25*(1+Allgemein!$B$19))</f>
        <v>2130.1</v>
      </c>
    </row>
    <row r="26" customFormat="false" ht="15" hidden="false" customHeight="false" outlineLevel="0" collapsed="false">
      <c r="A26" s="5" t="s">
        <v>24</v>
      </c>
      <c r="B26" s="5" t="s">
        <v>106</v>
      </c>
      <c r="C26" s="5" t="s">
        <v>112</v>
      </c>
      <c r="D26" s="12" t="n">
        <v>2.5</v>
      </c>
      <c r="E26" s="5" t="s">
        <v>87</v>
      </c>
      <c r="F26" s="9" t="n">
        <v>1490</v>
      </c>
      <c r="G26" s="5" t="s">
        <v>88</v>
      </c>
      <c r="H26" s="5" t="s">
        <v>88</v>
      </c>
      <c r="I26" s="12" t="n">
        <v>9.47</v>
      </c>
      <c r="J26" s="12" t="n">
        <v>5.2</v>
      </c>
      <c r="K26" s="12" t="n">
        <v>19</v>
      </c>
      <c r="L26" s="5" t="s">
        <v>75</v>
      </c>
      <c r="M26" s="5"/>
      <c r="N26" s="5" t="s">
        <v>113</v>
      </c>
      <c r="O26" s="6" t="n">
        <f aca="false">IF(F26="","",F26*(1+Allgemein!$B$19))</f>
        <v>1773.1</v>
      </c>
    </row>
    <row r="27" customFormat="false" ht="15" hidden="false" customHeight="false" outlineLevel="0" collapsed="false">
      <c r="A27" s="5" t="s">
        <v>24</v>
      </c>
      <c r="B27" s="5" t="s">
        <v>106</v>
      </c>
      <c r="C27" s="5" t="s">
        <v>114</v>
      </c>
      <c r="D27" s="12" t="n">
        <v>3.5</v>
      </c>
      <c r="E27" s="5" t="s">
        <v>87</v>
      </c>
      <c r="F27" s="9" t="n">
        <v>1690</v>
      </c>
      <c r="G27" s="5" t="s">
        <v>88</v>
      </c>
      <c r="H27" s="5" t="s">
        <v>88</v>
      </c>
      <c r="I27" s="12" t="n">
        <v>9.25</v>
      </c>
      <c r="J27" s="12" t="n">
        <v>5.2</v>
      </c>
      <c r="K27" s="12" t="n">
        <v>19</v>
      </c>
      <c r="L27" s="5" t="s">
        <v>75</v>
      </c>
      <c r="M27" s="5"/>
      <c r="N27" s="5" t="s">
        <v>113</v>
      </c>
      <c r="O27" s="6" t="n">
        <f aca="false">IF(F27="","",F27*(1+Allgemein!$B$19))</f>
        <v>2011.1</v>
      </c>
    </row>
    <row r="28" customFormat="false" ht="15" hidden="false" customHeight="false" outlineLevel="0" collapsed="false">
      <c r="A28" s="5" t="s">
        <v>24</v>
      </c>
      <c r="B28" s="5" t="s">
        <v>106</v>
      </c>
      <c r="C28" s="5" t="s">
        <v>115</v>
      </c>
      <c r="D28" s="12" t="n">
        <v>5</v>
      </c>
      <c r="E28" s="5" t="s">
        <v>87</v>
      </c>
      <c r="F28" s="9" t="n">
        <v>2190</v>
      </c>
      <c r="G28" s="5" t="s">
        <v>74</v>
      </c>
      <c r="H28" s="5" t="s">
        <v>74</v>
      </c>
      <c r="I28" s="12" t="n">
        <v>7.8</v>
      </c>
      <c r="J28" s="12" t="n">
        <v>4.8</v>
      </c>
      <c r="K28" s="12" t="n">
        <v>27</v>
      </c>
      <c r="L28" s="5" t="s">
        <v>75</v>
      </c>
      <c r="M28" s="5"/>
      <c r="N28" s="5" t="s">
        <v>113</v>
      </c>
      <c r="O28" s="6" t="n">
        <f aca="false">IF(F28="","",F28*(1+Allgemein!$B$19))</f>
        <v>2606.1</v>
      </c>
    </row>
    <row r="29" customFormat="false" ht="15" hidden="false" customHeight="false" outlineLevel="0" collapsed="false">
      <c r="A29" s="5" t="s">
        <v>24</v>
      </c>
      <c r="B29" s="5" t="s">
        <v>116</v>
      </c>
      <c r="C29" s="5" t="s">
        <v>117</v>
      </c>
      <c r="D29" s="12" t="n">
        <v>2.5</v>
      </c>
      <c r="E29" s="5" t="s">
        <v>73</v>
      </c>
      <c r="F29" s="9" t="n">
        <v>1150</v>
      </c>
      <c r="G29" s="5" t="s">
        <v>88</v>
      </c>
      <c r="H29" s="5" t="s">
        <v>74</v>
      </c>
      <c r="I29" s="12" t="n">
        <v>8.7</v>
      </c>
      <c r="J29" s="12" t="n">
        <v>4.8</v>
      </c>
      <c r="K29" s="12" t="n">
        <v>18</v>
      </c>
      <c r="L29" s="5" t="s">
        <v>75</v>
      </c>
      <c r="M29" s="5"/>
      <c r="N29" s="5" t="s">
        <v>118</v>
      </c>
      <c r="O29" s="6" t="n">
        <f aca="false">IF(F29="","",F29*(1+Allgemein!$B$19))</f>
        <v>1368.5</v>
      </c>
    </row>
    <row r="30" customFormat="false" ht="15" hidden="false" customHeight="false" outlineLevel="0" collapsed="false">
      <c r="A30" s="5" t="s">
        <v>24</v>
      </c>
      <c r="B30" s="5" t="s">
        <v>116</v>
      </c>
      <c r="C30" s="5" t="s">
        <v>119</v>
      </c>
      <c r="D30" s="12" t="n">
        <v>3.5</v>
      </c>
      <c r="E30" s="5" t="s">
        <v>73</v>
      </c>
      <c r="F30" s="9" t="n">
        <v>1290</v>
      </c>
      <c r="G30" s="5" t="s">
        <v>88</v>
      </c>
      <c r="H30" s="5" t="s">
        <v>74</v>
      </c>
      <c r="I30" s="12" t="n">
        <v>8.7</v>
      </c>
      <c r="J30" s="12" t="n">
        <v>4.7</v>
      </c>
      <c r="K30" s="12" t="n">
        <v>18</v>
      </c>
      <c r="L30" s="5" t="s">
        <v>75</v>
      </c>
      <c r="M30" s="5"/>
      <c r="N30" s="5" t="s">
        <v>118</v>
      </c>
      <c r="O30" s="6" t="n">
        <f aca="false">IF(F30="","",F30*(1+Allgemein!$B$19))</f>
        <v>1535.1</v>
      </c>
    </row>
    <row r="31" customFormat="false" ht="15" hidden="false" customHeight="false" outlineLevel="0" collapsed="false">
      <c r="A31" s="5" t="s">
        <v>24</v>
      </c>
      <c r="B31" s="5" t="s">
        <v>116</v>
      </c>
      <c r="C31" s="5" t="s">
        <v>120</v>
      </c>
      <c r="D31" s="12" t="n">
        <v>4.2</v>
      </c>
      <c r="E31" s="5" t="s">
        <v>73</v>
      </c>
      <c r="F31" s="9" t="n">
        <v>1490</v>
      </c>
      <c r="G31" s="5" t="s">
        <v>74</v>
      </c>
      <c r="H31" s="5" t="s">
        <v>74</v>
      </c>
      <c r="I31" s="12" t="n">
        <v>7.9</v>
      </c>
      <c r="J31" s="12" t="n">
        <v>4.7</v>
      </c>
      <c r="K31" s="12" t="n">
        <v>21</v>
      </c>
      <c r="L31" s="5" t="s">
        <v>75</v>
      </c>
      <c r="M31" s="5"/>
      <c r="N31" s="5" t="s">
        <v>118</v>
      </c>
      <c r="O31" s="6" t="n">
        <f aca="false">IF(F31="","",F31*(1+Allgemein!$B$19))</f>
        <v>1773.1</v>
      </c>
    </row>
    <row r="32" customFormat="false" ht="15" hidden="false" customHeight="false" outlineLevel="0" collapsed="false">
      <c r="A32" s="5" t="s">
        <v>24</v>
      </c>
      <c r="B32" s="5" t="s">
        <v>116</v>
      </c>
      <c r="C32" s="5" t="s">
        <v>121</v>
      </c>
      <c r="D32" s="12" t="n">
        <v>5</v>
      </c>
      <c r="E32" s="5" t="s">
        <v>73</v>
      </c>
      <c r="F32" s="9" t="n">
        <v>1750</v>
      </c>
      <c r="G32" s="5" t="s">
        <v>74</v>
      </c>
      <c r="H32" s="5" t="s">
        <v>74</v>
      </c>
      <c r="I32" s="12" t="n">
        <v>7.5</v>
      </c>
      <c r="J32" s="12" t="n">
        <v>4.7</v>
      </c>
      <c r="K32" s="12" t="n">
        <v>28</v>
      </c>
      <c r="L32" s="5" t="s">
        <v>75</v>
      </c>
      <c r="M32" s="5"/>
      <c r="N32" s="5" t="s">
        <v>118</v>
      </c>
      <c r="O32" s="6" t="n">
        <f aca="false">IF(F32="","",F32*(1+Allgemein!$B$19))</f>
        <v>2082.5</v>
      </c>
    </row>
    <row r="33" customFormat="false" ht="15" hidden="false" customHeight="false" outlineLevel="0" collapsed="false">
      <c r="A33" s="5"/>
      <c r="B33" s="5"/>
      <c r="C33" s="5"/>
      <c r="D33" s="12"/>
      <c r="E33" s="5"/>
      <c r="F33" s="9"/>
      <c r="G33" s="5"/>
      <c r="H33" s="5"/>
      <c r="I33" s="12"/>
      <c r="J33" s="12"/>
      <c r="K33" s="12"/>
      <c r="L33" s="5"/>
      <c r="M33" s="5"/>
      <c r="N33" s="5"/>
      <c r="O33" s="6" t="str">
        <f aca="false">IF(F33="","",F33*(1+Allgemein!$B$19))</f>
        <v/>
      </c>
    </row>
    <row r="34" customFormat="false" ht="15" hidden="false" customHeight="false" outlineLevel="0" collapsed="false">
      <c r="A34" s="5"/>
      <c r="B34" s="5"/>
      <c r="C34" s="5"/>
      <c r="D34" s="12"/>
      <c r="E34" s="5"/>
      <c r="F34" s="9"/>
      <c r="G34" s="5"/>
      <c r="H34" s="5"/>
      <c r="I34" s="12"/>
      <c r="J34" s="12"/>
      <c r="K34" s="12"/>
      <c r="L34" s="5"/>
      <c r="M34" s="5"/>
      <c r="N34" s="5"/>
      <c r="O34" s="6" t="str">
        <f aca="false">IF(F34="","",F34*(1+Allgemein!$B$19))</f>
        <v/>
      </c>
    </row>
    <row r="35" customFormat="false" ht="15" hidden="false" customHeight="false" outlineLevel="0" collapsed="false">
      <c r="A35" s="5"/>
      <c r="B35" s="5"/>
      <c r="C35" s="5"/>
      <c r="D35" s="12"/>
      <c r="E35" s="5"/>
      <c r="F35" s="9"/>
      <c r="G35" s="5"/>
      <c r="H35" s="5"/>
      <c r="I35" s="12"/>
      <c r="J35" s="12"/>
      <c r="K35" s="12"/>
      <c r="L35" s="5"/>
      <c r="M35" s="5"/>
      <c r="N35" s="5"/>
      <c r="O35" s="6" t="str">
        <f aca="false">IF(F35="","",F35*(1+Allgemein!$B$19))</f>
        <v/>
      </c>
    </row>
    <row r="36" customFormat="false" ht="15" hidden="false" customHeight="false" outlineLevel="0" collapsed="false">
      <c r="A36" s="5"/>
      <c r="B36" s="5"/>
      <c r="C36" s="5"/>
      <c r="D36" s="12"/>
      <c r="E36" s="5"/>
      <c r="F36" s="9"/>
      <c r="G36" s="5"/>
      <c r="H36" s="5"/>
      <c r="I36" s="12"/>
      <c r="J36" s="12"/>
      <c r="K36" s="12"/>
      <c r="L36" s="5"/>
      <c r="M36" s="5"/>
      <c r="N36" s="5"/>
      <c r="O36" s="6" t="str">
        <f aca="false">IF(F36="","",F36*(1+Allgemein!$B$19))</f>
        <v/>
      </c>
    </row>
    <row r="37" customFormat="false" ht="15" hidden="false" customHeight="false" outlineLevel="0" collapsed="false">
      <c r="A37" s="5"/>
      <c r="B37" s="5"/>
      <c r="C37" s="5"/>
      <c r="D37" s="12"/>
      <c r="E37" s="5"/>
      <c r="F37" s="9"/>
      <c r="G37" s="5"/>
      <c r="H37" s="5"/>
      <c r="I37" s="12"/>
      <c r="J37" s="12"/>
      <c r="K37" s="12"/>
      <c r="L37" s="5"/>
      <c r="M37" s="5"/>
      <c r="N37" s="5"/>
      <c r="O37" s="6" t="str">
        <f aca="false">IF(F37="","",F37*(1+Allgemein!$B$19))</f>
        <v/>
      </c>
    </row>
    <row r="38" customFormat="false" ht="15" hidden="false" customHeight="false" outlineLevel="0" collapsed="false">
      <c r="A38" s="2" t="s">
        <v>122</v>
      </c>
    </row>
    <row r="40" customFormat="false" ht="15" hidden="false" customHeight="false" outlineLevel="0" collapsed="false">
      <c r="A40" s="3" t="s">
        <v>123</v>
      </c>
    </row>
    <row r="41" customFormat="false" ht="15" hidden="false" customHeight="false" outlineLevel="0" collapsed="false">
      <c r="A41" s="2" t="s">
        <v>124</v>
      </c>
    </row>
    <row r="42" customFormat="false" ht="35.05" hidden="false" customHeight="false" outlineLevel="0" collapsed="false">
      <c r="A42" s="7" t="s">
        <v>56</v>
      </c>
      <c r="B42" s="7" t="s">
        <v>57</v>
      </c>
      <c r="C42" s="7" t="s">
        <v>58</v>
      </c>
      <c r="D42" s="7" t="s">
        <v>59</v>
      </c>
      <c r="E42" s="7" t="s">
        <v>60</v>
      </c>
      <c r="F42" s="7" t="s">
        <v>61</v>
      </c>
      <c r="G42" s="7" t="s">
        <v>66</v>
      </c>
      <c r="H42" s="7" t="s">
        <v>67</v>
      </c>
      <c r="I42" s="7" t="s">
        <v>69</v>
      </c>
      <c r="J42" s="7" t="s">
        <v>70</v>
      </c>
    </row>
    <row r="43" customFormat="false" ht="15" hidden="false" customHeight="false" outlineLevel="0" collapsed="false">
      <c r="A43" s="5" t="s">
        <v>24</v>
      </c>
      <c r="B43" s="5" t="s">
        <v>71</v>
      </c>
      <c r="C43" s="5" t="s">
        <v>125</v>
      </c>
      <c r="D43" s="12" t="n">
        <v>2.5</v>
      </c>
      <c r="E43" s="5" t="s">
        <v>73</v>
      </c>
      <c r="F43" s="9" t="n">
        <v>420</v>
      </c>
      <c r="G43" s="12" t="n">
        <v>19</v>
      </c>
      <c r="H43" s="5" t="s">
        <v>75</v>
      </c>
      <c r="I43" s="5" t="s">
        <v>76</v>
      </c>
      <c r="J43" s="6" t="n">
        <f aca="false">IF(F43="","",F43*(1+Allgemein!$B$19))</f>
        <v>499.8</v>
      </c>
    </row>
    <row r="44" customFormat="false" ht="15" hidden="false" customHeight="false" outlineLevel="0" collapsed="false">
      <c r="A44" s="5" t="s">
        <v>24</v>
      </c>
      <c r="B44" s="5" t="s">
        <v>71</v>
      </c>
      <c r="C44" s="5" t="s">
        <v>126</v>
      </c>
      <c r="D44" s="12" t="n">
        <v>3.3</v>
      </c>
      <c r="E44" s="5" t="s">
        <v>73</v>
      </c>
      <c r="F44" s="9" t="n">
        <v>470</v>
      </c>
      <c r="G44" s="12" t="n">
        <v>20</v>
      </c>
      <c r="H44" s="5" t="s">
        <v>75</v>
      </c>
      <c r="I44" s="5" t="s">
        <v>78</v>
      </c>
      <c r="J44" s="6" t="n">
        <f aca="false">IF(F44="","",F44*(1+Allgemein!$B$19))</f>
        <v>559.3</v>
      </c>
    </row>
    <row r="45" customFormat="false" ht="15" hidden="false" customHeight="false" outlineLevel="0" collapsed="false">
      <c r="A45" s="5" t="s">
        <v>24</v>
      </c>
      <c r="B45" s="5" t="s">
        <v>71</v>
      </c>
      <c r="C45" s="5" t="s">
        <v>127</v>
      </c>
      <c r="D45" s="12" t="n">
        <v>4.2</v>
      </c>
      <c r="E45" s="5" t="s">
        <v>73</v>
      </c>
      <c r="F45" s="9" t="n">
        <v>560</v>
      </c>
      <c r="G45" s="12" t="n">
        <v>21</v>
      </c>
      <c r="H45" s="5" t="s">
        <v>75</v>
      </c>
      <c r="I45" s="5" t="s">
        <v>80</v>
      </c>
      <c r="J45" s="6" t="n">
        <f aca="false">IF(F45="","",F45*(1+Allgemein!$B$19))</f>
        <v>666.4</v>
      </c>
    </row>
    <row r="46" customFormat="false" ht="15" hidden="false" customHeight="false" outlineLevel="0" collapsed="false">
      <c r="A46" s="5" t="s">
        <v>24</v>
      </c>
      <c r="B46" s="5" t="s">
        <v>71</v>
      </c>
      <c r="C46" s="5" t="s">
        <v>128</v>
      </c>
      <c r="D46" s="12" t="n">
        <v>1.5</v>
      </c>
      <c r="E46" s="5" t="s">
        <v>87</v>
      </c>
      <c r="F46" s="9" t="n">
        <v>540</v>
      </c>
      <c r="G46" s="12" t="n">
        <v>22</v>
      </c>
      <c r="H46" s="5" t="s">
        <v>75</v>
      </c>
      <c r="I46" s="5" t="s">
        <v>129</v>
      </c>
      <c r="J46" s="6" t="n">
        <f aca="false">IF(F46="","",F46*(1+Allgemein!$B$19))</f>
        <v>642.6</v>
      </c>
    </row>
    <row r="47" customFormat="false" ht="15" hidden="false" customHeight="false" outlineLevel="0" collapsed="false">
      <c r="A47" s="5" t="s">
        <v>24</v>
      </c>
      <c r="B47" s="5" t="s">
        <v>71</v>
      </c>
      <c r="C47" s="5" t="s">
        <v>130</v>
      </c>
      <c r="D47" s="12" t="n">
        <v>2.5</v>
      </c>
      <c r="E47" s="5" t="s">
        <v>87</v>
      </c>
      <c r="F47" s="9" t="n">
        <v>590</v>
      </c>
      <c r="G47" s="12" t="n">
        <v>19</v>
      </c>
      <c r="H47" s="5" t="s">
        <v>75</v>
      </c>
      <c r="I47" s="5" t="s">
        <v>89</v>
      </c>
      <c r="J47" s="6" t="n">
        <f aca="false">IF(F47="","",F47*(1+Allgemein!$B$19))</f>
        <v>702.1</v>
      </c>
    </row>
    <row r="48" customFormat="false" ht="15" hidden="false" customHeight="false" outlineLevel="0" collapsed="false">
      <c r="A48" s="5" t="s">
        <v>24</v>
      </c>
      <c r="B48" s="5" t="s">
        <v>71</v>
      </c>
      <c r="C48" s="5" t="s">
        <v>131</v>
      </c>
      <c r="D48" s="12" t="n">
        <v>3.5</v>
      </c>
      <c r="E48" s="5" t="s">
        <v>87</v>
      </c>
      <c r="F48" s="9" t="n">
        <v>660</v>
      </c>
      <c r="G48" s="12" t="n">
        <v>19</v>
      </c>
      <c r="H48" s="5" t="s">
        <v>75</v>
      </c>
      <c r="I48" s="5" t="s">
        <v>91</v>
      </c>
      <c r="J48" s="6" t="n">
        <f aca="false">IF(F48="","",F48*(1+Allgemein!$B$19))</f>
        <v>785.4</v>
      </c>
    </row>
    <row r="49" customFormat="false" ht="15" hidden="false" customHeight="false" outlineLevel="0" collapsed="false">
      <c r="A49" s="5" t="s">
        <v>24</v>
      </c>
      <c r="B49" s="5" t="s">
        <v>71</v>
      </c>
      <c r="C49" s="5" t="s">
        <v>132</v>
      </c>
      <c r="D49" s="12" t="n">
        <v>4.6</v>
      </c>
      <c r="E49" s="5" t="s">
        <v>87</v>
      </c>
      <c r="F49" s="9" t="n">
        <v>760</v>
      </c>
      <c r="G49" s="12" t="n">
        <v>22</v>
      </c>
      <c r="H49" s="5" t="s">
        <v>75</v>
      </c>
      <c r="I49" s="5" t="s">
        <v>93</v>
      </c>
      <c r="J49" s="6" t="n">
        <f aca="false">IF(F49="","",F49*(1+Allgemein!$B$19))</f>
        <v>904.4</v>
      </c>
    </row>
    <row r="50" customFormat="false" ht="15" hidden="false" customHeight="false" outlineLevel="0" collapsed="false">
      <c r="A50" s="5" t="s">
        <v>24</v>
      </c>
      <c r="B50" s="5" t="s">
        <v>106</v>
      </c>
      <c r="C50" s="5" t="s">
        <v>133</v>
      </c>
      <c r="D50" s="12" t="n">
        <v>2.5</v>
      </c>
      <c r="E50" s="5" t="s">
        <v>73</v>
      </c>
      <c r="F50" s="9" t="n">
        <v>470</v>
      </c>
      <c r="G50" s="12" t="n">
        <v>19</v>
      </c>
      <c r="H50" s="5" t="s">
        <v>75</v>
      </c>
      <c r="I50" s="5" t="s">
        <v>134</v>
      </c>
      <c r="J50" s="6" t="n">
        <f aca="false">IF(F50="","",F50*(1+Allgemein!$B$19))</f>
        <v>559.3</v>
      </c>
    </row>
    <row r="51" customFormat="false" ht="15" hidden="false" customHeight="false" outlineLevel="0" collapsed="false">
      <c r="A51" s="5" t="s">
        <v>24</v>
      </c>
      <c r="B51" s="5" t="s">
        <v>106</v>
      </c>
      <c r="C51" s="5" t="s">
        <v>135</v>
      </c>
      <c r="D51" s="12" t="n">
        <v>3.5</v>
      </c>
      <c r="E51" s="5" t="s">
        <v>73</v>
      </c>
      <c r="F51" s="9" t="n">
        <v>520</v>
      </c>
      <c r="G51" s="12" t="n">
        <v>20</v>
      </c>
      <c r="H51" s="5" t="s">
        <v>75</v>
      </c>
      <c r="I51" s="5" t="s">
        <v>134</v>
      </c>
      <c r="J51" s="6" t="n">
        <f aca="false">IF(F51="","",F51*(1+Allgemein!$B$19))</f>
        <v>618.8</v>
      </c>
    </row>
    <row r="52" customFormat="false" ht="15" hidden="false" customHeight="false" outlineLevel="0" collapsed="false">
      <c r="A52" s="5" t="s">
        <v>24</v>
      </c>
      <c r="B52" s="5" t="s">
        <v>106</v>
      </c>
      <c r="C52" s="5" t="s">
        <v>136</v>
      </c>
      <c r="D52" s="12" t="n">
        <v>5</v>
      </c>
      <c r="E52" s="5" t="s">
        <v>73</v>
      </c>
      <c r="F52" s="9" t="n">
        <v>680</v>
      </c>
      <c r="G52" s="12" t="n">
        <v>27</v>
      </c>
      <c r="H52" s="5" t="s">
        <v>75</v>
      </c>
      <c r="I52" s="5" t="s">
        <v>134</v>
      </c>
      <c r="J52" s="6" t="n">
        <f aca="false">IF(F52="","",F52*(1+Allgemein!$B$19))</f>
        <v>809.2</v>
      </c>
    </row>
    <row r="53" customFormat="false" ht="15" hidden="false" customHeight="false" outlineLevel="0" collapsed="false">
      <c r="A53" s="5" t="s">
        <v>24</v>
      </c>
      <c r="B53" s="5" t="s">
        <v>106</v>
      </c>
      <c r="C53" s="5" t="s">
        <v>137</v>
      </c>
      <c r="D53" s="12" t="n">
        <v>2</v>
      </c>
      <c r="E53" s="5" t="s">
        <v>87</v>
      </c>
      <c r="F53" s="9" t="n">
        <v>560</v>
      </c>
      <c r="G53" s="12" t="n">
        <v>19</v>
      </c>
      <c r="H53" s="5" t="s">
        <v>75</v>
      </c>
      <c r="I53" s="5" t="s">
        <v>138</v>
      </c>
      <c r="J53" s="6" t="n">
        <f aca="false">IF(F53="","",F53*(1+Allgemein!$B$19))</f>
        <v>666.4</v>
      </c>
    </row>
    <row r="54" customFormat="false" ht="15" hidden="false" customHeight="false" outlineLevel="0" collapsed="false">
      <c r="A54" s="5" t="s">
        <v>24</v>
      </c>
      <c r="B54" s="5" t="s">
        <v>106</v>
      </c>
      <c r="C54" s="5" t="s">
        <v>139</v>
      </c>
      <c r="D54" s="12" t="n">
        <v>2.5</v>
      </c>
      <c r="E54" s="5" t="s">
        <v>87</v>
      </c>
      <c r="F54" s="9" t="n">
        <v>600</v>
      </c>
      <c r="G54" s="12" t="n">
        <v>19</v>
      </c>
      <c r="H54" s="5" t="s">
        <v>75</v>
      </c>
      <c r="I54" s="5" t="s">
        <v>138</v>
      </c>
      <c r="J54" s="6" t="n">
        <f aca="false">IF(F54="","",F54*(1+Allgemein!$B$19))</f>
        <v>714</v>
      </c>
    </row>
    <row r="55" customFormat="false" ht="15" hidden="false" customHeight="false" outlineLevel="0" collapsed="false">
      <c r="A55" s="5" t="s">
        <v>24</v>
      </c>
      <c r="B55" s="5" t="s">
        <v>106</v>
      </c>
      <c r="C55" s="5" t="s">
        <v>140</v>
      </c>
      <c r="D55" s="12" t="n">
        <v>3.5</v>
      </c>
      <c r="E55" s="5" t="s">
        <v>87</v>
      </c>
      <c r="F55" s="9" t="n">
        <v>680</v>
      </c>
      <c r="G55" s="12" t="n">
        <v>19</v>
      </c>
      <c r="H55" s="5" t="s">
        <v>75</v>
      </c>
      <c r="I55" s="5" t="s">
        <v>138</v>
      </c>
      <c r="J55" s="6" t="n">
        <f aca="false">IF(F55="","",F55*(1+Allgemein!$B$19))</f>
        <v>809.2</v>
      </c>
    </row>
    <row r="56" customFormat="false" ht="15" hidden="false" customHeight="false" outlineLevel="0" collapsed="false">
      <c r="A56" s="5" t="s">
        <v>24</v>
      </c>
      <c r="B56" s="5" t="s">
        <v>106</v>
      </c>
      <c r="C56" s="5" t="s">
        <v>141</v>
      </c>
      <c r="D56" s="12" t="n">
        <v>4.2</v>
      </c>
      <c r="E56" s="5" t="s">
        <v>87</v>
      </c>
      <c r="F56" s="9" t="n">
        <v>760</v>
      </c>
      <c r="G56" s="12" t="n">
        <v>21</v>
      </c>
      <c r="H56" s="5" t="s">
        <v>75</v>
      </c>
      <c r="I56" s="5" t="s">
        <v>138</v>
      </c>
      <c r="J56" s="6" t="n">
        <f aca="false">IF(F56="","",F56*(1+Allgemein!$B$19))</f>
        <v>904.4</v>
      </c>
    </row>
    <row r="57" customFormat="false" ht="15" hidden="false" customHeight="false" outlineLevel="0" collapsed="false">
      <c r="A57" s="5" t="s">
        <v>24</v>
      </c>
      <c r="B57" s="5" t="s">
        <v>106</v>
      </c>
      <c r="C57" s="5" t="s">
        <v>142</v>
      </c>
      <c r="D57" s="12" t="n">
        <v>5</v>
      </c>
      <c r="E57" s="5" t="s">
        <v>87</v>
      </c>
      <c r="F57" s="9" t="n">
        <v>860</v>
      </c>
      <c r="G57" s="12" t="n">
        <v>27</v>
      </c>
      <c r="H57" s="5" t="s">
        <v>75</v>
      </c>
      <c r="I57" s="5" t="s">
        <v>138</v>
      </c>
      <c r="J57" s="6" t="n">
        <f aca="false">IF(F57="","",F57*(1+Allgemein!$B$19))</f>
        <v>1023.4</v>
      </c>
    </row>
    <row r="58" customFormat="false" ht="15" hidden="false" customHeight="false" outlineLevel="0" collapsed="false">
      <c r="A58" s="5"/>
      <c r="B58" s="5"/>
      <c r="C58" s="5"/>
      <c r="D58" s="12"/>
      <c r="E58" s="5"/>
      <c r="F58" s="9"/>
      <c r="G58" s="12"/>
      <c r="H58" s="5"/>
      <c r="I58" s="5"/>
      <c r="J58" s="6" t="str">
        <f aca="false">IF(F58="","",F58*(1+Allgemein!$B$19))</f>
        <v/>
      </c>
    </row>
    <row r="59" customFormat="false" ht="15" hidden="false" customHeight="false" outlineLevel="0" collapsed="false">
      <c r="A59" s="5"/>
      <c r="B59" s="5"/>
      <c r="C59" s="5"/>
      <c r="D59" s="12"/>
      <c r="E59" s="5"/>
      <c r="F59" s="9"/>
      <c r="G59" s="12"/>
      <c r="H59" s="5"/>
      <c r="I59" s="5"/>
      <c r="J59" s="6" t="str">
        <f aca="false">IF(F59="","",F59*(1+Allgemein!$B$19))</f>
        <v/>
      </c>
    </row>
    <row r="60" customFormat="false" ht="15" hidden="false" customHeight="false" outlineLevel="0" collapsed="false">
      <c r="A60" s="5"/>
      <c r="B60" s="5"/>
      <c r="C60" s="5"/>
      <c r="D60" s="12"/>
      <c r="E60" s="5"/>
      <c r="F60" s="9"/>
      <c r="G60" s="12"/>
      <c r="H60" s="5"/>
      <c r="I60" s="5"/>
      <c r="J60" s="6" t="str">
        <f aca="false">IF(F60="","",F60*(1+Allgemein!$B$19))</f>
        <v/>
      </c>
    </row>
    <row r="61" customFormat="false" ht="15" hidden="false" customHeight="false" outlineLevel="0" collapsed="false">
      <c r="A61" s="5"/>
      <c r="B61" s="5"/>
      <c r="C61" s="5"/>
      <c r="D61" s="12"/>
      <c r="E61" s="5"/>
      <c r="F61" s="9"/>
      <c r="G61" s="12"/>
      <c r="H61" s="5"/>
      <c r="I61" s="5"/>
      <c r="J61" s="6" t="str">
        <f aca="false">IF(F61="","",F61*(1+Allgemein!$B$19))</f>
        <v/>
      </c>
    </row>
    <row r="62" customFormat="false" ht="15" hidden="false" customHeight="false" outlineLevel="0" collapsed="false">
      <c r="A62" s="5"/>
      <c r="B62" s="5"/>
      <c r="C62" s="5"/>
      <c r="D62" s="12"/>
      <c r="E62" s="5"/>
      <c r="F62" s="9"/>
      <c r="G62" s="12"/>
      <c r="H62" s="5"/>
      <c r="I62" s="5"/>
      <c r="J62" s="6" t="str">
        <f aca="false">IF(F62="","",F62*(1+Allgemein!$B$19))</f>
        <v/>
      </c>
    </row>
    <row r="63" customFormat="false" ht="15" hidden="false" customHeight="false" outlineLevel="0" collapsed="false">
      <c r="A63" s="2" t="s">
        <v>122</v>
      </c>
    </row>
    <row r="65" customFormat="false" ht="15" hidden="false" customHeight="false" outlineLevel="0" collapsed="false">
      <c r="A65" s="3" t="s">
        <v>143</v>
      </c>
    </row>
    <row r="66" customFormat="false" ht="35.05" hidden="false" customHeight="false" outlineLevel="0" collapsed="false">
      <c r="A66" s="7" t="s">
        <v>56</v>
      </c>
      <c r="B66" s="7" t="s">
        <v>57</v>
      </c>
      <c r="C66" s="7" t="s">
        <v>58</v>
      </c>
      <c r="D66" s="7" t="s">
        <v>144</v>
      </c>
      <c r="E66" s="7" t="s">
        <v>59</v>
      </c>
      <c r="F66" s="7" t="s">
        <v>61</v>
      </c>
      <c r="G66" s="7" t="s">
        <v>62</v>
      </c>
      <c r="H66" s="7" t="s">
        <v>63</v>
      </c>
      <c r="I66" s="7" t="s">
        <v>64</v>
      </c>
      <c r="J66" s="7" t="s">
        <v>65</v>
      </c>
      <c r="K66" s="7" t="s">
        <v>67</v>
      </c>
      <c r="L66" s="7" t="s">
        <v>68</v>
      </c>
      <c r="M66" s="7" t="s">
        <v>69</v>
      </c>
      <c r="N66" s="7" t="s">
        <v>70</v>
      </c>
    </row>
    <row r="67" customFormat="false" ht="15" hidden="false" customHeight="false" outlineLevel="0" collapsed="false">
      <c r="A67" s="5" t="s">
        <v>24</v>
      </c>
      <c r="B67" s="5" t="s">
        <v>71</v>
      </c>
      <c r="C67" s="5" t="s">
        <v>145</v>
      </c>
      <c r="D67" s="12" t="n">
        <v>2</v>
      </c>
      <c r="E67" s="12" t="n">
        <v>4</v>
      </c>
      <c r="F67" s="9" t="n">
        <v>1590</v>
      </c>
      <c r="G67" s="5" t="s">
        <v>88</v>
      </c>
      <c r="H67" s="5" t="s">
        <v>74</v>
      </c>
      <c r="I67" s="12" t="n">
        <v>8.7</v>
      </c>
      <c r="J67" s="12" t="n">
        <v>4.8</v>
      </c>
      <c r="K67" s="5" t="s">
        <v>75</v>
      </c>
      <c r="L67" s="5"/>
      <c r="M67" s="5" t="s">
        <v>146</v>
      </c>
      <c r="N67" s="6" t="n">
        <f aca="false">IF(F67="","",F67*(1+Allgemein!$B$19))</f>
        <v>1892.1</v>
      </c>
    </row>
    <row r="68" customFormat="false" ht="15" hidden="false" customHeight="false" outlineLevel="0" collapsed="false">
      <c r="A68" s="5" t="s">
        <v>24</v>
      </c>
      <c r="B68" s="5" t="s">
        <v>71</v>
      </c>
      <c r="C68" s="5" t="s">
        <v>147</v>
      </c>
      <c r="D68" s="12" t="n">
        <v>2</v>
      </c>
      <c r="E68" s="12" t="n">
        <v>5.2</v>
      </c>
      <c r="F68" s="9" t="n">
        <v>1790</v>
      </c>
      <c r="G68" s="5" t="s">
        <v>88</v>
      </c>
      <c r="H68" s="5" t="s">
        <v>74</v>
      </c>
      <c r="I68" s="12" t="n">
        <v>8.7</v>
      </c>
      <c r="J68" s="12" t="n">
        <v>4.8</v>
      </c>
      <c r="K68" s="5" t="s">
        <v>75</v>
      </c>
      <c r="L68" s="5"/>
      <c r="M68" s="5" t="s">
        <v>148</v>
      </c>
      <c r="N68" s="6" t="n">
        <f aca="false">IF(F68="","",F68*(1+Allgemein!$B$19))</f>
        <v>2130.1</v>
      </c>
    </row>
    <row r="69" customFormat="false" ht="15" hidden="false" customHeight="false" outlineLevel="0" collapsed="false">
      <c r="A69" s="5" t="s">
        <v>24</v>
      </c>
      <c r="B69" s="5" t="s">
        <v>71</v>
      </c>
      <c r="C69" s="5" t="s">
        <v>149</v>
      </c>
      <c r="D69" s="12" t="n">
        <v>3</v>
      </c>
      <c r="E69" s="12" t="n">
        <v>5.2</v>
      </c>
      <c r="F69" s="9" t="n">
        <v>1990</v>
      </c>
      <c r="G69" s="5" t="s">
        <v>88</v>
      </c>
      <c r="H69" s="5" t="s">
        <v>74</v>
      </c>
      <c r="I69" s="12" t="n">
        <v>8.6</v>
      </c>
      <c r="J69" s="12" t="n">
        <v>4.8</v>
      </c>
      <c r="K69" s="5" t="s">
        <v>75</v>
      </c>
      <c r="L69" s="5"/>
      <c r="M69" s="5" t="s">
        <v>150</v>
      </c>
      <c r="N69" s="6" t="n">
        <f aca="false">IF(F69="","",F69*(1+Allgemein!$B$19))</f>
        <v>2368.1</v>
      </c>
    </row>
    <row r="70" customFormat="false" ht="15" hidden="false" customHeight="false" outlineLevel="0" collapsed="false">
      <c r="A70" s="5" t="s">
        <v>24</v>
      </c>
      <c r="B70" s="5" t="s">
        <v>71</v>
      </c>
      <c r="C70" s="5" t="s">
        <v>151</v>
      </c>
      <c r="D70" s="12" t="n">
        <v>3</v>
      </c>
      <c r="E70" s="12" t="n">
        <v>7</v>
      </c>
      <c r="F70" s="9" t="n">
        <v>2390</v>
      </c>
      <c r="G70" s="5" t="s">
        <v>88</v>
      </c>
      <c r="H70" s="5" t="s">
        <v>74</v>
      </c>
      <c r="I70" s="12" t="n">
        <v>8.5</v>
      </c>
      <c r="J70" s="12" t="n">
        <v>4.6</v>
      </c>
      <c r="K70" s="5" t="s">
        <v>75</v>
      </c>
      <c r="L70" s="5"/>
      <c r="M70" s="5" t="s">
        <v>152</v>
      </c>
      <c r="N70" s="6" t="n">
        <f aca="false">IF(F70="","",F70*(1+Allgemein!$B$19))</f>
        <v>2844.1</v>
      </c>
    </row>
    <row r="71" customFormat="false" ht="15" hidden="false" customHeight="false" outlineLevel="0" collapsed="false">
      <c r="A71" s="5" t="s">
        <v>24</v>
      </c>
      <c r="B71" s="5" t="s">
        <v>71</v>
      </c>
      <c r="C71" s="5" t="s">
        <v>153</v>
      </c>
      <c r="D71" s="12" t="n">
        <v>4</v>
      </c>
      <c r="E71" s="12" t="n">
        <v>8</v>
      </c>
      <c r="F71" s="9" t="n">
        <v>2690</v>
      </c>
      <c r="G71" s="5" t="s">
        <v>74</v>
      </c>
      <c r="H71" s="5" t="s">
        <v>74</v>
      </c>
      <c r="I71" s="12" t="n">
        <v>8.3</v>
      </c>
      <c r="J71" s="12" t="n">
        <v>4.5</v>
      </c>
      <c r="K71" s="5" t="s">
        <v>75</v>
      </c>
      <c r="L71" s="5"/>
      <c r="M71" s="5" t="s">
        <v>154</v>
      </c>
      <c r="N71" s="6" t="n">
        <f aca="false">IF(F71="","",F71*(1+Allgemein!$B$19))</f>
        <v>3201.1</v>
      </c>
    </row>
    <row r="72" customFormat="false" ht="15" hidden="false" customHeight="false" outlineLevel="0" collapsed="false">
      <c r="A72" s="5" t="s">
        <v>24</v>
      </c>
      <c r="B72" s="5" t="s">
        <v>71</v>
      </c>
      <c r="C72" s="5" t="s">
        <v>155</v>
      </c>
      <c r="D72" s="12" t="n">
        <v>5</v>
      </c>
      <c r="E72" s="12" t="n">
        <v>10</v>
      </c>
      <c r="F72" s="9" t="n">
        <v>3190</v>
      </c>
      <c r="G72" s="5" t="s">
        <v>74</v>
      </c>
      <c r="H72" s="5" t="s">
        <v>74</v>
      </c>
      <c r="I72" s="12" t="n">
        <v>7.2</v>
      </c>
      <c r="J72" s="12" t="n">
        <v>4.3</v>
      </c>
      <c r="K72" s="5" t="s">
        <v>75</v>
      </c>
      <c r="L72" s="5"/>
      <c r="M72" s="5" t="s">
        <v>156</v>
      </c>
      <c r="N72" s="6" t="n">
        <f aca="false">IF(F72="","",F72*(1+Allgemein!$B$19))</f>
        <v>3796.1</v>
      </c>
    </row>
    <row r="73" customFormat="false" ht="15" hidden="false" customHeight="false" outlineLevel="0" collapsed="false">
      <c r="A73" s="5" t="s">
        <v>24</v>
      </c>
      <c r="B73" s="5" t="s">
        <v>106</v>
      </c>
      <c r="C73" s="5" t="s">
        <v>157</v>
      </c>
      <c r="D73" s="12" t="n">
        <v>2</v>
      </c>
      <c r="E73" s="12" t="n">
        <v>4</v>
      </c>
      <c r="F73" s="9" t="n">
        <v>1690</v>
      </c>
      <c r="G73" s="5" t="s">
        <v>158</v>
      </c>
      <c r="H73" s="5" t="s">
        <v>158</v>
      </c>
      <c r="I73" s="12"/>
      <c r="J73" s="12"/>
      <c r="K73" s="5" t="s">
        <v>75</v>
      </c>
      <c r="L73" s="5"/>
      <c r="M73" s="5" t="s">
        <v>159</v>
      </c>
      <c r="N73" s="6" t="n">
        <f aca="false">IF(F73="","",F73*(1+Allgemein!$B$19))</f>
        <v>2011.1</v>
      </c>
    </row>
    <row r="74" customFormat="false" ht="15" hidden="false" customHeight="false" outlineLevel="0" collapsed="false">
      <c r="A74" s="5" t="s">
        <v>24</v>
      </c>
      <c r="B74" s="5" t="s">
        <v>106</v>
      </c>
      <c r="C74" s="5" t="s">
        <v>160</v>
      </c>
      <c r="D74" s="12" t="n">
        <v>2</v>
      </c>
      <c r="E74" s="12" t="n">
        <v>5</v>
      </c>
      <c r="F74" s="9" t="n">
        <v>1790</v>
      </c>
      <c r="G74" s="5" t="s">
        <v>158</v>
      </c>
      <c r="H74" s="5" t="s">
        <v>158</v>
      </c>
      <c r="I74" s="12"/>
      <c r="J74" s="12"/>
      <c r="K74" s="5" t="s">
        <v>75</v>
      </c>
      <c r="L74" s="5"/>
      <c r="M74" s="5" t="s">
        <v>159</v>
      </c>
      <c r="N74" s="6" t="n">
        <f aca="false">IF(F74="","",F74*(1+Allgemein!$B$19))</f>
        <v>2130.1</v>
      </c>
    </row>
    <row r="75" customFormat="false" ht="15" hidden="false" customHeight="false" outlineLevel="0" collapsed="false">
      <c r="A75" s="5" t="s">
        <v>24</v>
      </c>
      <c r="B75" s="5" t="s">
        <v>106</v>
      </c>
      <c r="C75" s="5" t="s">
        <v>161</v>
      </c>
      <c r="D75" s="12" t="n">
        <v>3</v>
      </c>
      <c r="E75" s="12" t="n">
        <v>5.2</v>
      </c>
      <c r="F75" s="9" t="n">
        <v>2190</v>
      </c>
      <c r="G75" s="5" t="s">
        <v>88</v>
      </c>
      <c r="H75" s="5" t="s">
        <v>88</v>
      </c>
      <c r="I75" s="12" t="n">
        <v>8.51</v>
      </c>
      <c r="J75" s="12" t="n">
        <v>5.1</v>
      </c>
      <c r="K75" s="5" t="s">
        <v>75</v>
      </c>
      <c r="L75" s="5"/>
      <c r="M75" s="5" t="s">
        <v>162</v>
      </c>
      <c r="N75" s="6" t="n">
        <f aca="false">IF(F75="","",F75*(1+Allgemein!$B$19))</f>
        <v>2606.1</v>
      </c>
    </row>
    <row r="76" customFormat="false" ht="15" hidden="false" customHeight="false" outlineLevel="0" collapsed="false">
      <c r="A76" s="5" t="s">
        <v>24</v>
      </c>
      <c r="B76" s="5" t="s">
        <v>106</v>
      </c>
      <c r="C76" s="5" t="s">
        <v>163</v>
      </c>
      <c r="D76" s="12" t="n">
        <v>3</v>
      </c>
      <c r="E76" s="12" t="n">
        <v>6.8</v>
      </c>
      <c r="F76" s="9" t="n">
        <v>2490</v>
      </c>
      <c r="G76" s="5" t="s">
        <v>158</v>
      </c>
      <c r="H76" s="5" t="s">
        <v>158</v>
      </c>
      <c r="I76" s="12"/>
      <c r="J76" s="12"/>
      <c r="K76" s="5" t="s">
        <v>75</v>
      </c>
      <c r="L76" s="5"/>
      <c r="M76" s="5" t="s">
        <v>164</v>
      </c>
      <c r="N76" s="6" t="n">
        <f aca="false">IF(F76="","",F76*(1+Allgemein!$B$19))</f>
        <v>2963.1</v>
      </c>
    </row>
    <row r="77" customFormat="false" ht="15" hidden="false" customHeight="false" outlineLevel="0" collapsed="false">
      <c r="A77" s="5" t="s">
        <v>24</v>
      </c>
      <c r="B77" s="5" t="s">
        <v>106</v>
      </c>
      <c r="C77" s="5" t="s">
        <v>165</v>
      </c>
      <c r="D77" s="12" t="n">
        <v>4</v>
      </c>
      <c r="E77" s="12" t="n">
        <v>8</v>
      </c>
      <c r="F77" s="9" t="n">
        <v>2890</v>
      </c>
      <c r="G77" s="5" t="s">
        <v>158</v>
      </c>
      <c r="H77" s="5" t="s">
        <v>158</v>
      </c>
      <c r="I77" s="12"/>
      <c r="J77" s="12"/>
      <c r="K77" s="5" t="s">
        <v>75</v>
      </c>
      <c r="L77" s="5"/>
      <c r="M77" s="5" t="s">
        <v>166</v>
      </c>
      <c r="N77" s="6" t="n">
        <f aca="false">IF(F77="","",F77*(1+Allgemein!$B$19))</f>
        <v>3439.1</v>
      </c>
    </row>
    <row r="78" customFormat="false" ht="15" hidden="false" customHeight="false" outlineLevel="0" collapsed="false">
      <c r="A78" s="5" t="s">
        <v>24</v>
      </c>
      <c r="B78" s="5" t="s">
        <v>106</v>
      </c>
      <c r="C78" s="5" t="s">
        <v>167</v>
      </c>
      <c r="D78" s="12" t="n">
        <v>5</v>
      </c>
      <c r="E78" s="12" t="n">
        <v>9</v>
      </c>
      <c r="F78" s="9" t="n">
        <v>3290</v>
      </c>
      <c r="G78" s="5" t="s">
        <v>158</v>
      </c>
      <c r="H78" s="5" t="s">
        <v>158</v>
      </c>
      <c r="I78" s="12"/>
      <c r="J78" s="12"/>
      <c r="K78" s="5" t="s">
        <v>75</v>
      </c>
      <c r="L78" s="5"/>
      <c r="M78" s="5" t="s">
        <v>168</v>
      </c>
      <c r="N78" s="6" t="n">
        <f aca="false">IF(F78="","",F78*(1+Allgemein!$B$19))</f>
        <v>3915.1</v>
      </c>
    </row>
    <row r="79" customFormat="false" ht="15" hidden="false" customHeight="false" outlineLevel="0" collapsed="false">
      <c r="A79" s="5"/>
      <c r="B79" s="5"/>
      <c r="C79" s="5"/>
      <c r="D79" s="12"/>
      <c r="E79" s="12"/>
      <c r="F79" s="9"/>
      <c r="G79" s="5"/>
      <c r="H79" s="5"/>
      <c r="I79" s="12"/>
      <c r="J79" s="12"/>
      <c r="K79" s="5"/>
      <c r="L79" s="5"/>
      <c r="M79" s="5"/>
      <c r="N79" s="6" t="str">
        <f aca="false">IF(F79="","",F79*(1+Allgemein!$B$19))</f>
        <v/>
      </c>
    </row>
    <row r="80" customFormat="false" ht="15" hidden="false" customHeight="false" outlineLevel="0" collapsed="false">
      <c r="A80" s="5"/>
      <c r="B80" s="5"/>
      <c r="C80" s="5"/>
      <c r="D80" s="12"/>
      <c r="E80" s="12"/>
      <c r="F80" s="9"/>
      <c r="G80" s="5"/>
      <c r="H80" s="5"/>
      <c r="I80" s="12"/>
      <c r="J80" s="12"/>
      <c r="K80" s="5"/>
      <c r="L80" s="5"/>
      <c r="M80" s="5"/>
      <c r="N80" s="6" t="str">
        <f aca="false">IF(F80="","",F80*(1+Allgemein!$B$19))</f>
        <v/>
      </c>
    </row>
    <row r="81" customFormat="false" ht="15" hidden="false" customHeight="false" outlineLevel="0" collapsed="false">
      <c r="A81" s="5"/>
      <c r="B81" s="5"/>
      <c r="C81" s="5"/>
      <c r="D81" s="12"/>
      <c r="E81" s="12"/>
      <c r="F81" s="9"/>
      <c r="G81" s="5"/>
      <c r="H81" s="5"/>
      <c r="I81" s="12"/>
      <c r="J81" s="12"/>
      <c r="K81" s="5"/>
      <c r="L81" s="5"/>
      <c r="M81" s="5"/>
      <c r="N81" s="6" t="str">
        <f aca="false">IF(F81="","",F81*(1+Allgemein!$B$19))</f>
        <v/>
      </c>
    </row>
    <row r="82" customFormat="false" ht="15" hidden="false" customHeight="false" outlineLevel="0" collapsed="false">
      <c r="A82" s="5"/>
      <c r="B82" s="5"/>
      <c r="C82" s="5"/>
      <c r="D82" s="12"/>
      <c r="E82" s="12"/>
      <c r="F82" s="9"/>
      <c r="G82" s="5"/>
      <c r="H82" s="5"/>
      <c r="I82" s="12"/>
      <c r="J82" s="12"/>
      <c r="K82" s="5"/>
      <c r="L82" s="5"/>
      <c r="M82" s="5"/>
      <c r="N82" s="6" t="str">
        <f aca="false">IF(F82="","",F82*(1+Allgemein!$B$19))</f>
        <v/>
      </c>
    </row>
    <row r="83" customFormat="false" ht="15" hidden="false" customHeight="false" outlineLevel="0" collapsed="false">
      <c r="A83" s="5"/>
      <c r="B83" s="5"/>
      <c r="C83" s="5"/>
      <c r="D83" s="12"/>
      <c r="E83" s="12"/>
      <c r="F83" s="9"/>
      <c r="G83" s="5"/>
      <c r="H83" s="5"/>
      <c r="I83" s="12"/>
      <c r="J83" s="12"/>
      <c r="K83" s="5"/>
      <c r="L83" s="5"/>
      <c r="M83" s="5"/>
      <c r="N83" s="6" t="str">
        <f aca="false">IF(F83="","",F83*(1+Allgemein!$B$19))</f>
        <v/>
      </c>
    </row>
    <row r="84" customFormat="false" ht="15" hidden="false" customHeight="false" outlineLevel="0" collapsed="false">
      <c r="A84" s="2" t="s">
        <v>122</v>
      </c>
    </row>
    <row r="86" customFormat="false" ht="15" hidden="false" customHeight="false" outlineLevel="0" collapsed="false">
      <c r="A86" s="3" t="s">
        <v>169</v>
      </c>
    </row>
    <row r="87" customFormat="false" ht="15" hidden="false" customHeight="false" outlineLevel="0" collapsed="false">
      <c r="A87" s="7" t="s">
        <v>32</v>
      </c>
      <c r="B87" s="7" t="s">
        <v>33</v>
      </c>
      <c r="C87" s="7" t="s">
        <v>34</v>
      </c>
      <c r="D87" s="7" t="s">
        <v>35</v>
      </c>
      <c r="E87" s="7" t="s">
        <v>36</v>
      </c>
    </row>
    <row r="88" customFormat="false" ht="15" hidden="false" customHeight="false" outlineLevel="0" collapsed="false">
      <c r="A88" s="8" t="s">
        <v>170</v>
      </c>
      <c r="B88" s="12" t="n">
        <v>6</v>
      </c>
      <c r="C88" s="8" t="s">
        <v>171</v>
      </c>
      <c r="D88" s="6" t="n">
        <f aca="false">B88*Allgemein!$B$17</f>
        <v>408</v>
      </c>
      <c r="E88" s="6" t="n">
        <f aca="false">D88*(1+Allgemein!$B$19)</f>
        <v>485.52</v>
      </c>
    </row>
    <row r="89" customFormat="false" ht="15" hidden="false" customHeight="false" outlineLevel="0" collapsed="false">
      <c r="A89" s="8" t="s">
        <v>172</v>
      </c>
      <c r="B89" s="12" t="n">
        <v>7</v>
      </c>
      <c r="C89" s="8" t="s">
        <v>171</v>
      </c>
      <c r="D89" s="6" t="n">
        <f aca="false">B89*Allgemein!$B$17</f>
        <v>476</v>
      </c>
      <c r="E89" s="6" t="n">
        <f aca="false">D89*(1+Allgemein!$B$19)</f>
        <v>566.44</v>
      </c>
    </row>
    <row r="90" customFormat="false" ht="15" hidden="false" customHeight="false" outlineLevel="0" collapsed="false">
      <c r="A90" s="8" t="s">
        <v>173</v>
      </c>
      <c r="B90" s="12" t="n">
        <v>4</v>
      </c>
      <c r="C90" s="8" t="s">
        <v>171</v>
      </c>
      <c r="D90" s="6" t="n">
        <f aca="false">B90*Allgemein!$B$17</f>
        <v>272</v>
      </c>
      <c r="E90" s="6" t="n">
        <f aca="false">D90*(1+Allgemein!$B$19)</f>
        <v>323.68</v>
      </c>
    </row>
    <row r="91" customFormat="false" ht="15" hidden="false" customHeight="false" outlineLevel="0" collapsed="false">
      <c r="A91" s="8" t="s">
        <v>174</v>
      </c>
      <c r="B91" s="12" t="n">
        <v>0.25</v>
      </c>
      <c r="C91" s="8" t="s">
        <v>171</v>
      </c>
      <c r="D91" s="6" t="n">
        <f aca="false">B91*Allgemein!$B$17</f>
        <v>17</v>
      </c>
      <c r="E91" s="6" t="n">
        <f aca="false">D91*(1+Allgemein!$B$19)</f>
        <v>20.23</v>
      </c>
    </row>
    <row r="92" customFormat="false" ht="15" hidden="false" customHeight="false" outlineLevel="0" collapsed="false">
      <c r="A92" s="8" t="s">
        <v>175</v>
      </c>
      <c r="B92" s="12" t="n">
        <v>0.75</v>
      </c>
      <c r="C92" s="8" t="s">
        <v>171</v>
      </c>
      <c r="D92" s="6" t="n">
        <f aca="false">B92*Allgemein!$B$17</f>
        <v>51</v>
      </c>
      <c r="E92" s="6" t="n">
        <f aca="false">D92*(1+Allgemein!$B$19)</f>
        <v>60.69</v>
      </c>
    </row>
    <row r="93" customFormat="false" ht="15" hidden="false" customHeight="false" outlineLevel="0" collapsed="false">
      <c r="A93" s="8" t="s">
        <v>176</v>
      </c>
      <c r="B93" s="12" t="n">
        <v>0.5</v>
      </c>
      <c r="C93" s="8" t="s">
        <v>171</v>
      </c>
      <c r="D93" s="6" t="n">
        <f aca="false">B93*Allgemein!$B$17</f>
        <v>34</v>
      </c>
      <c r="E93" s="6" t="n">
        <f aca="false">D93*(1+Allgemein!$B$19)</f>
        <v>40.46</v>
      </c>
    </row>
    <row r="94" customFormat="false" ht="15" hidden="false" customHeight="false" outlineLevel="0" collapsed="false">
      <c r="A94" s="8" t="s">
        <v>177</v>
      </c>
      <c r="B94" s="12" t="n">
        <v>2</v>
      </c>
      <c r="C94" s="8" t="s">
        <v>171</v>
      </c>
      <c r="D94" s="6" t="n">
        <f aca="false">B94*Allgemein!$B$17</f>
        <v>136</v>
      </c>
      <c r="E94" s="6" t="n">
        <f aca="false">D94*(1+Allgemein!$B$19)</f>
        <v>161.84</v>
      </c>
    </row>
    <row r="95" customFormat="false" ht="15" hidden="false" customHeight="false" outlineLevel="0" collapsed="false">
      <c r="A95" s="8" t="s">
        <v>178</v>
      </c>
      <c r="B95" s="12" t="n">
        <v>1</v>
      </c>
      <c r="C95" s="8" t="s">
        <v>171</v>
      </c>
      <c r="D95" s="6" t="n">
        <f aca="false">B95*Allgemein!$B$17</f>
        <v>68</v>
      </c>
      <c r="E95" s="6" t="n">
        <f aca="false">D95*(1+Allgemein!$B$19)</f>
        <v>80.92</v>
      </c>
    </row>
    <row r="97" customFormat="false" ht="15" hidden="false" customHeight="false" outlineLevel="0" collapsed="false">
      <c r="A97" s="3" t="s">
        <v>179</v>
      </c>
    </row>
    <row r="98" customFormat="false" ht="15" hidden="false" customHeight="false" outlineLevel="0" collapsed="false">
      <c r="A98" s="7" t="s">
        <v>32</v>
      </c>
      <c r="B98" s="7" t="s">
        <v>33</v>
      </c>
      <c r="C98" s="7" t="s">
        <v>34</v>
      </c>
      <c r="D98" s="7" t="s">
        <v>35</v>
      </c>
      <c r="E98" s="7" t="s">
        <v>36</v>
      </c>
    </row>
    <row r="99" customFormat="false" ht="15" hidden="false" customHeight="false" outlineLevel="0" collapsed="false">
      <c r="A99" s="8" t="s">
        <v>180</v>
      </c>
      <c r="B99" s="9" t="n">
        <v>190</v>
      </c>
      <c r="C99" s="8" t="s">
        <v>40</v>
      </c>
      <c r="E99" s="6" t="n">
        <f aca="false">B99*(1+Allgemein!$B$19)</f>
        <v>226.1</v>
      </c>
    </row>
    <row r="100" customFormat="false" ht="15" hidden="false" customHeight="false" outlineLevel="0" collapsed="false">
      <c r="A100" s="8" t="s">
        <v>181</v>
      </c>
      <c r="B100" s="9" t="n">
        <v>150</v>
      </c>
      <c r="C100" s="8" t="s">
        <v>40</v>
      </c>
      <c r="E100" s="6" t="n">
        <f aca="false">B100*(1+Allgemein!$B$19)</f>
        <v>178.5</v>
      </c>
    </row>
    <row r="101" customFormat="false" ht="15" hidden="false" customHeight="false" outlineLevel="0" collapsed="false">
      <c r="A101" s="8" t="s">
        <v>174</v>
      </c>
      <c r="B101" s="9" t="n">
        <v>26</v>
      </c>
      <c r="C101" s="8" t="s">
        <v>40</v>
      </c>
      <c r="E101" s="6" t="n">
        <f aca="false">B101*(1+Allgemein!$B$19)</f>
        <v>30.94</v>
      </c>
    </row>
    <row r="102" customFormat="false" ht="15" hidden="false" customHeight="false" outlineLevel="0" collapsed="false">
      <c r="A102" s="8" t="s">
        <v>182</v>
      </c>
      <c r="B102" s="9" t="n">
        <v>110</v>
      </c>
      <c r="C102" s="8" t="s">
        <v>40</v>
      </c>
      <c r="E102" s="6" t="n">
        <f aca="false">B102*(1+Allgemein!$B$19)</f>
        <v>130.9</v>
      </c>
    </row>
    <row r="103" customFormat="false" ht="15" hidden="false" customHeight="false" outlineLevel="0" collapsed="false">
      <c r="A103" s="8" t="s">
        <v>183</v>
      </c>
      <c r="B103" s="9" t="n">
        <v>360</v>
      </c>
      <c r="C103" s="8" t="s">
        <v>40</v>
      </c>
      <c r="E103" s="6" t="n">
        <f aca="false">B103*(1+Allgemein!$B$19)</f>
        <v>428.4</v>
      </c>
    </row>
    <row r="104" customFormat="false" ht="15" hidden="false" customHeight="false" outlineLevel="0" collapsed="false">
      <c r="A104" s="8" t="s">
        <v>175</v>
      </c>
      <c r="B104" s="9" t="n">
        <v>55</v>
      </c>
      <c r="C104" s="8" t="s">
        <v>40</v>
      </c>
      <c r="E104" s="6" t="n">
        <f aca="false">B104*(1+Allgemein!$B$19)</f>
        <v>65.45</v>
      </c>
    </row>
    <row r="105" customFormat="false" ht="15" hidden="false" customHeight="false" outlineLevel="0" collapsed="false">
      <c r="A105" s="8" t="s">
        <v>184</v>
      </c>
      <c r="B105" s="9" t="n">
        <v>135</v>
      </c>
      <c r="C105" s="8" t="s">
        <v>40</v>
      </c>
      <c r="E105" s="6" t="n">
        <f aca="false">B105*(1+Allgemein!$B$19)</f>
        <v>160.65</v>
      </c>
    </row>
    <row r="106" customFormat="false" ht="15" hidden="false" customHeight="false" outlineLevel="0" collapsed="false">
      <c r="A106" s="8" t="s">
        <v>185</v>
      </c>
      <c r="B106" s="9" t="n">
        <v>170</v>
      </c>
      <c r="C106" s="8" t="s">
        <v>40</v>
      </c>
      <c r="E106" s="6" t="n">
        <f aca="false">B106*(1+Allgemein!$B$19)</f>
        <v>202.3</v>
      </c>
    </row>
    <row r="108" customFormat="false" ht="15" hidden="false" customHeight="false" outlineLevel="0" collapsed="false">
      <c r="A108" s="3" t="s">
        <v>186</v>
      </c>
    </row>
    <row r="109" customFormat="false" ht="15" hidden="false" customHeight="false" outlineLevel="0" collapsed="false">
      <c r="A109" s="7" t="s">
        <v>32</v>
      </c>
      <c r="B109" s="7" t="s">
        <v>33</v>
      </c>
      <c r="C109" s="7" t="s">
        <v>34</v>
      </c>
      <c r="D109" s="7" t="s">
        <v>35</v>
      </c>
      <c r="E109" s="7" t="s">
        <v>36</v>
      </c>
    </row>
    <row r="110" customFormat="false" ht="15" hidden="false" customHeight="false" outlineLevel="0" collapsed="false">
      <c r="A110" s="8" t="s">
        <v>187</v>
      </c>
      <c r="B110" s="9" t="n">
        <v>149</v>
      </c>
      <c r="C110" s="8" t="s">
        <v>40</v>
      </c>
    </row>
    <row r="111" customFormat="false" ht="15" hidden="false" customHeight="false" outlineLevel="0" collapsed="false">
      <c r="A111" s="8" t="s">
        <v>188</v>
      </c>
      <c r="B111" s="12" t="n">
        <v>0.1</v>
      </c>
      <c r="C111" s="8" t="s">
        <v>189</v>
      </c>
    </row>
  </sheetData>
  <dataValidations count="10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37" type="list">
      <formula1>"Ja,Nein"</formula1>
      <formula2>0</formula2>
    </dataValidation>
    <dataValidation allowBlank="true" errorStyle="stop" operator="between" showDropDown="false" showErrorMessage="true" showInputMessage="false" sqref="E9:E37" type="list">
      <formula1>"Standard,Premium"</formula1>
      <formula2>0</formula2>
    </dataValidation>
    <dataValidation allowBlank="true" errorStyle="stop" operator="between" showDropDown="false" showErrorMessage="true" showInputMessage="false" sqref="G9:G37" type="list">
      <formula1>"–,A+++,A++,A+,A,B,C,D"</formula1>
      <formula2>0</formula2>
    </dataValidation>
    <dataValidation allowBlank="true" errorStyle="stop" operator="between" showDropDown="false" showErrorMessage="true" showInputMessage="false" sqref="H9:H37" type="list">
      <formula1>"–,A+++,A++,A+,A,B,C,D"</formula1>
      <formula2>0</formula2>
    </dataValidation>
    <dataValidation allowBlank="true" errorStyle="stop" operator="between" showDropDown="false" showErrorMessage="true" showInputMessage="false" sqref="A43:A62" type="list">
      <formula1>"Ja,Nein"</formula1>
      <formula2>0</formula2>
    </dataValidation>
    <dataValidation allowBlank="true" errorStyle="stop" operator="between" showDropDown="false" showErrorMessage="true" showInputMessage="false" sqref="E43:E62" type="list">
      <formula1>"Standard,Premium"</formula1>
      <formula2>0</formula2>
    </dataValidation>
    <dataValidation allowBlank="true" errorStyle="stop" operator="between" showDropDown="false" showErrorMessage="true" showInputMessage="false" sqref="A67:A83" type="list">
      <formula1>"Ja,Nein"</formula1>
      <formula2>0</formula2>
    </dataValidation>
    <dataValidation allowBlank="true" errorStyle="stop" operator="between" showDropDown="false" showErrorMessage="true" showInputMessage="false" sqref="G67:G83" type="list">
      <formula1>"–,A+++,A++,A+,A,B,C,D"</formula1>
      <formula2>0</formula2>
    </dataValidation>
    <dataValidation allowBlank="true" errorStyle="stop" operator="between" showDropDown="false" showErrorMessage="true" showInputMessage="false" sqref="H67:H83" type="list">
      <formula1>"–,A+++,A++,A+,A,B,C,D"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23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190</v>
      </c>
    </row>
    <row r="7" customFormat="false" ht="15" hidden="false" customHeight="false" outlineLevel="0" collapsed="false">
      <c r="A7" s="2" t="s">
        <v>191</v>
      </c>
    </row>
    <row r="8" customFormat="false" ht="23.8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59</v>
      </c>
      <c r="E8" s="7" t="s">
        <v>61</v>
      </c>
      <c r="F8" s="7" t="s">
        <v>192</v>
      </c>
      <c r="G8" s="7" t="s">
        <v>68</v>
      </c>
      <c r="H8" s="7" t="s">
        <v>69</v>
      </c>
      <c r="I8" s="7" t="s">
        <v>70</v>
      </c>
    </row>
    <row r="9" customFormat="false" ht="15" hidden="false" customHeight="false" outlineLevel="0" collapsed="false">
      <c r="A9" s="5" t="s">
        <v>24</v>
      </c>
      <c r="B9" s="5" t="s">
        <v>193</v>
      </c>
      <c r="C9" s="5" t="s">
        <v>194</v>
      </c>
      <c r="D9" s="12" t="n">
        <v>6</v>
      </c>
      <c r="E9" s="9" t="n">
        <v>8900</v>
      </c>
      <c r="F9" s="5" t="s">
        <v>88</v>
      </c>
      <c r="G9" s="5"/>
      <c r="H9" s="5"/>
      <c r="I9" s="6" t="n">
        <f aca="false">IF(E9="","",E9*(1+Allgemein!$B$19))</f>
        <v>10591</v>
      </c>
    </row>
    <row r="10" customFormat="false" ht="15" hidden="false" customHeight="false" outlineLevel="0" collapsed="false">
      <c r="A10" s="5" t="s">
        <v>24</v>
      </c>
      <c r="B10" s="5" t="s">
        <v>193</v>
      </c>
      <c r="C10" s="5" t="s">
        <v>195</v>
      </c>
      <c r="D10" s="12" t="n">
        <v>9</v>
      </c>
      <c r="E10" s="9" t="n">
        <v>10400</v>
      </c>
      <c r="F10" s="5" t="s">
        <v>88</v>
      </c>
      <c r="G10" s="5"/>
      <c r="H10" s="5"/>
      <c r="I10" s="6" t="n">
        <f aca="false">IF(E10="","",E10*(1+Allgemein!$B$19))</f>
        <v>12376</v>
      </c>
    </row>
    <row r="11" customFormat="false" ht="15" hidden="false" customHeight="false" outlineLevel="0" collapsed="false">
      <c r="A11" s="5" t="s">
        <v>24</v>
      </c>
      <c r="B11" s="5" t="s">
        <v>193</v>
      </c>
      <c r="C11" s="5" t="s">
        <v>196</v>
      </c>
      <c r="D11" s="12" t="n">
        <v>12</v>
      </c>
      <c r="E11" s="9" t="n">
        <v>11900</v>
      </c>
      <c r="F11" s="5" t="s">
        <v>88</v>
      </c>
      <c r="G11" s="5"/>
      <c r="H11" s="5"/>
      <c r="I11" s="6" t="n">
        <f aca="false">IF(E11="","",E11*(1+Allgemein!$B$19))</f>
        <v>14161</v>
      </c>
    </row>
    <row r="12" customFormat="false" ht="15" hidden="false" customHeight="false" outlineLevel="0" collapsed="false">
      <c r="A12" s="5" t="s">
        <v>24</v>
      </c>
      <c r="B12" s="5" t="s">
        <v>193</v>
      </c>
      <c r="C12" s="5" t="s">
        <v>197</v>
      </c>
      <c r="D12" s="12" t="n">
        <v>16</v>
      </c>
      <c r="E12" s="9" t="n">
        <v>13400</v>
      </c>
      <c r="F12" s="5" t="s">
        <v>88</v>
      </c>
      <c r="G12" s="5"/>
      <c r="H12" s="5"/>
      <c r="I12" s="6" t="n">
        <f aca="false">IF(E12="","",E12*(1+Allgemein!$B$19))</f>
        <v>15946</v>
      </c>
    </row>
    <row r="13" customFormat="false" ht="15" hidden="false" customHeight="false" outlineLevel="0" collapsed="false">
      <c r="A13" s="5" t="s">
        <v>24</v>
      </c>
      <c r="B13" s="5" t="s">
        <v>193</v>
      </c>
      <c r="C13" s="5" t="s">
        <v>198</v>
      </c>
      <c r="D13" s="12" t="n">
        <v>18</v>
      </c>
      <c r="E13" s="9" t="n">
        <v>14900</v>
      </c>
      <c r="F13" s="5" t="s">
        <v>88</v>
      </c>
      <c r="G13" s="5"/>
      <c r="H13" s="5"/>
      <c r="I13" s="6" t="n">
        <f aca="false">IF(E13="","",E13*(1+Allgemein!$B$19))</f>
        <v>17731</v>
      </c>
    </row>
    <row r="14" customFormat="false" ht="15" hidden="false" customHeight="false" outlineLevel="0" collapsed="false">
      <c r="A14" s="5"/>
      <c r="B14" s="5"/>
      <c r="C14" s="5"/>
      <c r="D14" s="12"/>
      <c r="E14" s="9"/>
      <c r="F14" s="5"/>
      <c r="G14" s="5"/>
      <c r="H14" s="5"/>
      <c r="I14" s="6" t="str">
        <f aca="false">IF(E14="","",E14*(1+Allgemein!$B$19))</f>
        <v/>
      </c>
    </row>
    <row r="15" customFormat="false" ht="15" hidden="false" customHeight="false" outlineLevel="0" collapsed="false">
      <c r="A15" s="5"/>
      <c r="B15" s="5"/>
      <c r="C15" s="5"/>
      <c r="D15" s="12"/>
      <c r="E15" s="9"/>
      <c r="F15" s="5"/>
      <c r="G15" s="5"/>
      <c r="H15" s="5"/>
      <c r="I15" s="6" t="str">
        <f aca="false">IF(E15="","",E15*(1+Allgemein!$B$19))</f>
        <v/>
      </c>
    </row>
    <row r="16" customFormat="false" ht="15" hidden="false" customHeight="false" outlineLevel="0" collapsed="false">
      <c r="A16" s="5"/>
      <c r="B16" s="5"/>
      <c r="C16" s="5"/>
      <c r="D16" s="12"/>
      <c r="E16" s="9"/>
      <c r="F16" s="5"/>
      <c r="G16" s="5"/>
      <c r="H16" s="5"/>
      <c r="I16" s="6" t="str">
        <f aca="false">IF(E16="","",E16*(1+Allgemein!$B$19))</f>
        <v/>
      </c>
    </row>
    <row r="17" customFormat="false" ht="15" hidden="false" customHeight="false" outlineLevel="0" collapsed="false">
      <c r="A17" s="5"/>
      <c r="B17" s="5"/>
      <c r="C17" s="5"/>
      <c r="D17" s="12"/>
      <c r="E17" s="9"/>
      <c r="F17" s="5"/>
      <c r="G17" s="5"/>
      <c r="H17" s="5"/>
      <c r="I17" s="6" t="str">
        <f aca="false">IF(E17="","",E17*(1+Allgemein!$B$19))</f>
        <v/>
      </c>
    </row>
    <row r="18" customFormat="false" ht="15" hidden="false" customHeight="false" outlineLevel="0" collapsed="false">
      <c r="A18" s="5"/>
      <c r="B18" s="5"/>
      <c r="C18" s="5"/>
      <c r="D18" s="12"/>
      <c r="E18" s="9"/>
      <c r="F18" s="5"/>
      <c r="G18" s="5"/>
      <c r="H18" s="5"/>
      <c r="I18" s="6" t="str">
        <f aca="false">IF(E18="","",E18*(1+Allgemein!$B$19))</f>
        <v/>
      </c>
    </row>
    <row r="19" customFormat="false" ht="15" hidden="false" customHeight="false" outlineLevel="0" collapsed="false">
      <c r="A19" s="2" t="s">
        <v>122</v>
      </c>
    </row>
    <row r="21" customFormat="false" ht="15" hidden="false" customHeight="false" outlineLevel="0" collapsed="false">
      <c r="A21" s="3" t="s">
        <v>169</v>
      </c>
    </row>
    <row r="22" customFormat="false" ht="15" hidden="false" customHeight="false" outlineLevel="0" collapsed="false">
      <c r="A22" s="7" t="s">
        <v>32</v>
      </c>
      <c r="B22" s="7" t="s">
        <v>33</v>
      </c>
      <c r="C22" s="7" t="s">
        <v>34</v>
      </c>
      <c r="D22" s="7" t="s">
        <v>35</v>
      </c>
      <c r="E22" s="7" t="s">
        <v>36</v>
      </c>
    </row>
    <row r="23" customFormat="false" ht="15" hidden="false" customHeight="false" outlineLevel="0" collapsed="false">
      <c r="A23" s="8" t="s">
        <v>199</v>
      </c>
      <c r="B23" s="12" t="n">
        <v>30</v>
      </c>
      <c r="C23" s="8" t="s">
        <v>171</v>
      </c>
      <c r="D23" s="6" t="n">
        <f aca="false">B23*Allgemein!$B$17</f>
        <v>2040</v>
      </c>
      <c r="E23" s="6" t="n">
        <f aca="false">D23*(1+Allgemein!$B$19)</f>
        <v>2427.6</v>
      </c>
    </row>
    <row r="24" customFormat="false" ht="15" hidden="false" customHeight="false" outlineLevel="0" collapsed="false">
      <c r="A24" s="8" t="s">
        <v>200</v>
      </c>
      <c r="B24" s="12" t="n">
        <v>12</v>
      </c>
      <c r="C24" s="8" t="s">
        <v>171</v>
      </c>
      <c r="D24" s="6" t="n">
        <f aca="false">B24*Allgemein!$B$17</f>
        <v>816</v>
      </c>
      <c r="E24" s="6" t="n">
        <f aca="false">D24*(1+Allgemein!$B$19)</f>
        <v>971.04</v>
      </c>
    </row>
    <row r="25" customFormat="false" ht="15" hidden="false" customHeight="false" outlineLevel="0" collapsed="false">
      <c r="A25" s="8" t="s">
        <v>201</v>
      </c>
      <c r="B25" s="12" t="n">
        <v>6</v>
      </c>
      <c r="C25" s="8" t="s">
        <v>171</v>
      </c>
      <c r="D25" s="6" t="n">
        <f aca="false">B25*Allgemein!$B$17</f>
        <v>408</v>
      </c>
      <c r="E25" s="6" t="n">
        <f aca="false">D25*(1+Allgemein!$B$19)</f>
        <v>485.52</v>
      </c>
    </row>
    <row r="26" customFormat="false" ht="15" hidden="false" customHeight="false" outlineLevel="0" collapsed="false">
      <c r="A26" s="8" t="s">
        <v>202</v>
      </c>
      <c r="B26" s="12" t="n">
        <v>10</v>
      </c>
      <c r="C26" s="8" t="s">
        <v>171</v>
      </c>
      <c r="D26" s="6" t="n">
        <f aca="false">B26*Allgemein!$B$17</f>
        <v>680</v>
      </c>
      <c r="E26" s="6" t="n">
        <f aca="false">D26*(1+Allgemein!$B$19)</f>
        <v>809.2</v>
      </c>
    </row>
    <row r="27" customFormat="false" ht="15" hidden="false" customHeight="false" outlineLevel="0" collapsed="false">
      <c r="A27" s="8" t="s">
        <v>203</v>
      </c>
      <c r="B27" s="12" t="n">
        <v>2.5</v>
      </c>
      <c r="C27" s="8" t="s">
        <v>171</v>
      </c>
      <c r="D27" s="6" t="n">
        <f aca="false">B27*Allgemein!$B$17</f>
        <v>170</v>
      </c>
      <c r="E27" s="6" t="n">
        <f aca="false">D27*(1+Allgemein!$B$19)</f>
        <v>202.3</v>
      </c>
    </row>
    <row r="28" customFormat="false" ht="15" hidden="false" customHeight="false" outlineLevel="0" collapsed="false">
      <c r="A28" s="8" t="s">
        <v>204</v>
      </c>
      <c r="B28" s="12" t="n">
        <v>6</v>
      </c>
      <c r="C28" s="8" t="s">
        <v>171</v>
      </c>
      <c r="D28" s="6" t="n">
        <f aca="false">B28*Allgemein!$B$17</f>
        <v>408</v>
      </c>
      <c r="E28" s="6" t="n">
        <f aca="false">D28*(1+Allgemein!$B$19)</f>
        <v>485.52</v>
      </c>
    </row>
    <row r="30" customFormat="false" ht="15" hidden="false" customHeight="false" outlineLevel="0" collapsed="false">
      <c r="A30" s="3" t="s">
        <v>179</v>
      </c>
    </row>
    <row r="31" customFormat="false" ht="15" hidden="false" customHeight="false" outlineLevel="0" collapsed="false">
      <c r="A31" s="7" t="s">
        <v>32</v>
      </c>
      <c r="B31" s="7" t="s">
        <v>33</v>
      </c>
      <c r="C31" s="7" t="s">
        <v>34</v>
      </c>
      <c r="D31" s="7" t="s">
        <v>35</v>
      </c>
      <c r="E31" s="7" t="s">
        <v>36</v>
      </c>
    </row>
    <row r="32" customFormat="false" ht="15" hidden="false" customHeight="false" outlineLevel="0" collapsed="false">
      <c r="A32" s="8" t="s">
        <v>205</v>
      </c>
      <c r="B32" s="9" t="n">
        <v>4200</v>
      </c>
      <c r="C32" s="8" t="s">
        <v>40</v>
      </c>
      <c r="E32" s="6" t="n">
        <f aca="false">B32*(1+Allgemein!$B$19)</f>
        <v>4998</v>
      </c>
    </row>
    <row r="33" customFormat="false" ht="15" hidden="false" customHeight="false" outlineLevel="0" collapsed="false">
      <c r="A33" s="8" t="s">
        <v>206</v>
      </c>
      <c r="B33" s="9" t="n">
        <v>900</v>
      </c>
      <c r="C33" s="8" t="s">
        <v>40</v>
      </c>
      <c r="E33" s="6" t="n">
        <f aca="false">B33*(1+Allgemein!$B$19)</f>
        <v>1071</v>
      </c>
    </row>
    <row r="34" customFormat="false" ht="15" hidden="false" customHeight="false" outlineLevel="0" collapsed="false">
      <c r="A34" s="8" t="s">
        <v>207</v>
      </c>
      <c r="B34" s="9" t="n">
        <v>150</v>
      </c>
      <c r="C34" s="8" t="s">
        <v>40</v>
      </c>
      <c r="E34" s="6" t="n">
        <f aca="false">B34*(1+Allgemein!$B$19)</f>
        <v>178.5</v>
      </c>
    </row>
    <row r="35" customFormat="false" ht="15" hidden="false" customHeight="false" outlineLevel="0" collapsed="false">
      <c r="A35" s="8" t="s">
        <v>208</v>
      </c>
      <c r="B35" s="9" t="n">
        <v>350</v>
      </c>
      <c r="C35" s="8" t="s">
        <v>40</v>
      </c>
      <c r="E35" s="6" t="n">
        <f aca="false">B35*(1+Allgemein!$B$19)</f>
        <v>416.5</v>
      </c>
    </row>
    <row r="36" customFormat="false" ht="15" hidden="false" customHeight="false" outlineLevel="0" collapsed="false">
      <c r="A36" s="8" t="s">
        <v>209</v>
      </c>
      <c r="B36" s="9" t="n">
        <v>380</v>
      </c>
      <c r="C36" s="8" t="s">
        <v>40</v>
      </c>
      <c r="E36" s="6" t="n">
        <f aca="false">B36*(1+Allgemein!$B$19)</f>
        <v>452.2</v>
      </c>
    </row>
    <row r="37" customFormat="false" ht="15" hidden="false" customHeight="false" outlineLevel="0" collapsed="false">
      <c r="A37" s="8" t="s">
        <v>210</v>
      </c>
      <c r="B37" s="9" t="n">
        <v>650</v>
      </c>
      <c r="C37" s="8" t="s">
        <v>40</v>
      </c>
      <c r="E37" s="6" t="n">
        <f aca="false">B37*(1+Allgemein!$B$19)</f>
        <v>773.5</v>
      </c>
    </row>
    <row r="39" customFormat="false" ht="15" hidden="false" customHeight="false" outlineLevel="0" collapsed="false">
      <c r="A39" s="3" t="s">
        <v>211</v>
      </c>
    </row>
    <row r="40" customFormat="false" ht="15" hidden="false" customHeight="false" outlineLevel="0" collapsed="false">
      <c r="A40" s="7" t="s">
        <v>32</v>
      </c>
      <c r="B40" s="7" t="s">
        <v>33</v>
      </c>
      <c r="C40" s="7" t="s">
        <v>34</v>
      </c>
      <c r="D40" s="7" t="s">
        <v>35</v>
      </c>
      <c r="E40" s="7" t="s">
        <v>36</v>
      </c>
    </row>
    <row r="41" customFormat="false" ht="15" hidden="false" customHeight="false" outlineLevel="0" collapsed="false">
      <c r="A41" s="8" t="s">
        <v>212</v>
      </c>
      <c r="B41" s="12" t="n">
        <v>0.25</v>
      </c>
      <c r="C41" s="8" t="s">
        <v>189</v>
      </c>
    </row>
  </sheetData>
  <dataValidations count="3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8" type="list">
      <formula1>"Ja,Nein"</formula1>
      <formula2>0</formula2>
    </dataValidation>
    <dataValidation allowBlank="true" errorStyle="stop" operator="between" showDropDown="false" showErrorMessage="true" showInputMessage="false" sqref="F9:F18" type="list">
      <formula1>"–,A+++,A++,A+,A,B,C,D"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213</v>
      </c>
    </row>
    <row r="7" customFormat="false" ht="15" hidden="false" customHeight="false" outlineLevel="0" collapsed="false">
      <c r="A7" s="2" t="s">
        <v>214</v>
      </c>
    </row>
    <row r="8" customFormat="false" ht="15" hidden="false" customHeight="false" outlineLevel="0" collapsed="false">
      <c r="A8" s="7" t="s">
        <v>56</v>
      </c>
      <c r="B8" s="7" t="s">
        <v>57</v>
      </c>
      <c r="C8" s="7" t="s">
        <v>58</v>
      </c>
      <c r="D8" s="7" t="s">
        <v>215</v>
      </c>
      <c r="E8" s="7" t="s">
        <v>216</v>
      </c>
      <c r="F8" s="7" t="s">
        <v>70</v>
      </c>
    </row>
    <row r="9" customFormat="false" ht="15" hidden="false" customHeight="false" outlineLevel="0" collapsed="false">
      <c r="A9" s="5" t="s">
        <v>24</v>
      </c>
      <c r="B9" s="5" t="s">
        <v>217</v>
      </c>
      <c r="C9" s="5" t="s">
        <v>218</v>
      </c>
      <c r="D9" s="12" t="n">
        <v>450</v>
      </c>
      <c r="E9" s="9" t="n">
        <v>118</v>
      </c>
      <c r="F9" s="6" t="n">
        <f aca="false">IF(E9="","",E9*(1+Allgemein!$B$19))</f>
        <v>140.42</v>
      </c>
    </row>
    <row r="10" customFormat="false" ht="15" hidden="false" customHeight="false" outlineLevel="0" collapsed="false">
      <c r="A10" s="5" t="s">
        <v>24</v>
      </c>
      <c r="B10" s="5" t="s">
        <v>219</v>
      </c>
      <c r="C10" s="5" t="s">
        <v>220</v>
      </c>
      <c r="D10" s="12" t="n">
        <v>400</v>
      </c>
      <c r="E10" s="9" t="n">
        <v>175</v>
      </c>
      <c r="F10" s="6" t="n">
        <f aca="false">IF(E10="","",E10*(1+Allgemein!$B$19))</f>
        <v>208.25</v>
      </c>
    </row>
    <row r="11" customFormat="false" ht="15" hidden="false" customHeight="false" outlineLevel="0" collapsed="false">
      <c r="A11" s="5"/>
      <c r="B11" s="5"/>
      <c r="C11" s="5"/>
      <c r="D11" s="12"/>
      <c r="E11" s="9"/>
      <c r="F11" s="6" t="str">
        <f aca="false">IF(E11="","",E11*(1+Allgemein!$B$19))</f>
        <v/>
      </c>
    </row>
    <row r="12" customFormat="false" ht="15" hidden="false" customHeight="false" outlineLevel="0" collapsed="false">
      <c r="A12" s="5"/>
      <c r="B12" s="5"/>
      <c r="C12" s="5"/>
      <c r="D12" s="12"/>
      <c r="E12" s="9"/>
      <c r="F12" s="6" t="str">
        <f aca="false">IF(E12="","",E12*(1+Allgemein!$B$19))</f>
        <v/>
      </c>
    </row>
    <row r="13" customFormat="false" ht="15" hidden="false" customHeight="false" outlineLevel="0" collapsed="false">
      <c r="A13" s="5"/>
      <c r="B13" s="5"/>
      <c r="C13" s="5"/>
      <c r="D13" s="12"/>
      <c r="E13" s="9"/>
      <c r="F13" s="6" t="str">
        <f aca="false">IF(E13="","",E13*(1+Allgemein!$B$19))</f>
        <v/>
      </c>
    </row>
    <row r="14" customFormat="false" ht="15" hidden="false" customHeight="false" outlineLevel="0" collapsed="false">
      <c r="A14" s="5"/>
      <c r="B14" s="5"/>
      <c r="C14" s="5"/>
      <c r="D14" s="12"/>
      <c r="E14" s="9"/>
      <c r="F14" s="6" t="str">
        <f aca="false">IF(E14="","",E14*(1+Allgemein!$B$19))</f>
        <v/>
      </c>
    </row>
    <row r="15" customFormat="false" ht="15" hidden="false" customHeight="false" outlineLevel="0" collapsed="false">
      <c r="A15" s="5"/>
      <c r="B15" s="5"/>
      <c r="C15" s="5"/>
      <c r="D15" s="12"/>
      <c r="E15" s="9"/>
      <c r="F15" s="6" t="str">
        <f aca="false">IF(E15="","",E15*(1+Allgemein!$B$19))</f>
        <v/>
      </c>
    </row>
    <row r="16" customFormat="false" ht="15" hidden="false" customHeight="false" outlineLevel="0" collapsed="false">
      <c r="A16" s="2" t="s">
        <v>122</v>
      </c>
    </row>
    <row r="18" customFormat="false" ht="15" hidden="false" customHeight="false" outlineLevel="0" collapsed="false">
      <c r="A18" s="3" t="s">
        <v>221</v>
      </c>
    </row>
    <row r="19" customFormat="false" ht="15" hidden="false" customHeight="false" outlineLevel="0" collapsed="false">
      <c r="A19" s="2" t="s">
        <v>222</v>
      </c>
    </row>
    <row r="20" customFormat="false" ht="15" hidden="false" customHeight="false" outlineLevel="0" collapsed="false">
      <c r="A20" s="7" t="s">
        <v>56</v>
      </c>
      <c r="B20" s="7" t="s">
        <v>57</v>
      </c>
      <c r="C20" s="7" t="s">
        <v>58</v>
      </c>
      <c r="D20" s="7" t="s">
        <v>59</v>
      </c>
      <c r="E20" s="7" t="s">
        <v>61</v>
      </c>
      <c r="F20" s="7" t="s">
        <v>70</v>
      </c>
    </row>
    <row r="21" customFormat="false" ht="15" hidden="false" customHeight="false" outlineLevel="0" collapsed="false">
      <c r="A21" s="5" t="s">
        <v>24</v>
      </c>
      <c r="B21" s="5" t="s">
        <v>223</v>
      </c>
      <c r="C21" s="5" t="s">
        <v>224</v>
      </c>
      <c r="D21" s="12" t="n">
        <v>4</v>
      </c>
      <c r="E21" s="9" t="n">
        <v>1750</v>
      </c>
      <c r="F21" s="6" t="n">
        <f aca="false">IF(E21="","",E21*(1+Allgemein!$B$19))</f>
        <v>2082.5</v>
      </c>
    </row>
    <row r="22" customFormat="false" ht="15" hidden="false" customHeight="false" outlineLevel="0" collapsed="false">
      <c r="A22" s="5" t="s">
        <v>24</v>
      </c>
      <c r="B22" s="5" t="s">
        <v>223</v>
      </c>
      <c r="C22" s="5" t="s">
        <v>225</v>
      </c>
      <c r="D22" s="12" t="n">
        <v>6</v>
      </c>
      <c r="E22" s="9" t="n">
        <v>2050</v>
      </c>
      <c r="F22" s="6" t="n">
        <f aca="false">IF(E22="","",E22*(1+Allgemein!$B$19))</f>
        <v>2439.5</v>
      </c>
    </row>
    <row r="23" customFormat="false" ht="15" hidden="false" customHeight="false" outlineLevel="0" collapsed="false">
      <c r="A23" s="5" t="s">
        <v>24</v>
      </c>
      <c r="B23" s="5" t="s">
        <v>223</v>
      </c>
      <c r="C23" s="5" t="s">
        <v>226</v>
      </c>
      <c r="D23" s="12" t="n">
        <v>8</v>
      </c>
      <c r="E23" s="9" t="n">
        <v>2550</v>
      </c>
      <c r="F23" s="6" t="n">
        <f aca="false">IF(E23="","",E23*(1+Allgemein!$B$19))</f>
        <v>3034.5</v>
      </c>
    </row>
    <row r="24" customFormat="false" ht="15" hidden="false" customHeight="false" outlineLevel="0" collapsed="false">
      <c r="A24" s="5" t="s">
        <v>24</v>
      </c>
      <c r="B24" s="5" t="s">
        <v>223</v>
      </c>
      <c r="C24" s="5" t="s">
        <v>227</v>
      </c>
      <c r="D24" s="12" t="n">
        <v>10</v>
      </c>
      <c r="E24" s="9" t="n">
        <v>2850</v>
      </c>
      <c r="F24" s="6" t="n">
        <f aca="false">IF(E24="","",E24*(1+Allgemein!$B$19))</f>
        <v>3391.5</v>
      </c>
    </row>
    <row r="25" customFormat="false" ht="15" hidden="false" customHeight="false" outlineLevel="0" collapsed="false">
      <c r="A25" s="5" t="s">
        <v>24</v>
      </c>
      <c r="B25" s="5" t="s">
        <v>223</v>
      </c>
      <c r="C25" s="5" t="s">
        <v>228</v>
      </c>
      <c r="D25" s="12" t="n">
        <v>15</v>
      </c>
      <c r="E25" s="9" t="n">
        <v>3600</v>
      </c>
      <c r="F25" s="6" t="n">
        <f aca="false">IF(E25="","",E25*(1+Allgemein!$B$19))</f>
        <v>4284</v>
      </c>
    </row>
    <row r="26" customFormat="false" ht="15" hidden="false" customHeight="false" outlineLevel="0" collapsed="false">
      <c r="A26" s="5"/>
      <c r="B26" s="5"/>
      <c r="C26" s="5"/>
      <c r="D26" s="12"/>
      <c r="E26" s="9"/>
      <c r="F26" s="6" t="str">
        <f aca="false">IF(E26="","",E26*(1+Allgemein!$B$19))</f>
        <v/>
      </c>
    </row>
    <row r="27" customFormat="false" ht="15" hidden="false" customHeight="false" outlineLevel="0" collapsed="false">
      <c r="A27" s="5"/>
      <c r="B27" s="5"/>
      <c r="C27" s="5"/>
      <c r="D27" s="12"/>
      <c r="E27" s="9"/>
      <c r="F27" s="6" t="str">
        <f aca="false">IF(E27="","",E27*(1+Allgemein!$B$19))</f>
        <v/>
      </c>
    </row>
    <row r="28" customFormat="false" ht="15" hidden="false" customHeight="false" outlineLevel="0" collapsed="false">
      <c r="A28" s="5"/>
      <c r="B28" s="5"/>
      <c r="C28" s="5"/>
      <c r="D28" s="12"/>
      <c r="E28" s="9"/>
      <c r="F28" s="6" t="str">
        <f aca="false">IF(E28="","",E28*(1+Allgemein!$B$19))</f>
        <v/>
      </c>
    </row>
    <row r="29" customFormat="false" ht="15" hidden="false" customHeight="false" outlineLevel="0" collapsed="false">
      <c r="A29" s="5"/>
      <c r="B29" s="5"/>
      <c r="C29" s="5"/>
      <c r="D29" s="12"/>
      <c r="E29" s="9"/>
      <c r="F29" s="6" t="str">
        <f aca="false">IF(E29="","",E29*(1+Allgemein!$B$19))</f>
        <v/>
      </c>
    </row>
    <row r="30" customFormat="false" ht="15" hidden="false" customHeight="false" outlineLevel="0" collapsed="false">
      <c r="A30" s="5"/>
      <c r="B30" s="5"/>
      <c r="C30" s="5"/>
      <c r="D30" s="12"/>
      <c r="E30" s="9"/>
      <c r="F30" s="6" t="str">
        <f aca="false">IF(E30="","",E30*(1+Allgemein!$B$19))</f>
        <v/>
      </c>
    </row>
    <row r="31" customFormat="false" ht="15" hidden="false" customHeight="false" outlineLevel="0" collapsed="false">
      <c r="A31" s="2" t="s">
        <v>122</v>
      </c>
    </row>
    <row r="33" customFormat="false" ht="15" hidden="false" customHeight="false" outlineLevel="0" collapsed="false">
      <c r="A33" s="3" t="s">
        <v>229</v>
      </c>
    </row>
    <row r="34" customFormat="false" ht="15" hidden="false" customHeight="false" outlineLevel="0" collapsed="false">
      <c r="A34" s="2" t="s">
        <v>230</v>
      </c>
    </row>
    <row r="35" customFormat="false" ht="15" hidden="false" customHeight="false" outlineLevel="0" collapsed="false">
      <c r="A35" s="7" t="s">
        <v>56</v>
      </c>
      <c r="B35" s="7" t="s">
        <v>57</v>
      </c>
      <c r="C35" s="7" t="s">
        <v>58</v>
      </c>
      <c r="D35" s="7" t="s">
        <v>231</v>
      </c>
      <c r="E35" s="7" t="s">
        <v>61</v>
      </c>
      <c r="F35" s="7" t="s">
        <v>70</v>
      </c>
    </row>
    <row r="36" customFormat="false" ht="15" hidden="false" customHeight="false" outlineLevel="0" collapsed="false">
      <c r="A36" s="5" t="s">
        <v>24</v>
      </c>
      <c r="B36" s="5" t="s">
        <v>232</v>
      </c>
      <c r="C36" s="5" t="s">
        <v>233</v>
      </c>
      <c r="D36" s="12" t="n">
        <v>5.1</v>
      </c>
      <c r="E36" s="9" t="n">
        <v>2950</v>
      </c>
      <c r="F36" s="6" t="n">
        <f aca="false">IF(E36="","",E36*(1+Allgemein!$B$19))</f>
        <v>3510.5</v>
      </c>
    </row>
    <row r="37" customFormat="false" ht="15" hidden="false" customHeight="false" outlineLevel="0" collapsed="false">
      <c r="A37" s="5" t="s">
        <v>24</v>
      </c>
      <c r="B37" s="5" t="s">
        <v>232</v>
      </c>
      <c r="C37" s="5" t="s">
        <v>234</v>
      </c>
      <c r="D37" s="12" t="n">
        <v>7.7</v>
      </c>
      <c r="E37" s="9" t="n">
        <v>4050</v>
      </c>
      <c r="F37" s="6" t="n">
        <f aca="false">IF(E37="","",E37*(1+Allgemein!$B$19))</f>
        <v>4819.5</v>
      </c>
    </row>
    <row r="38" customFormat="false" ht="15" hidden="false" customHeight="false" outlineLevel="0" collapsed="false">
      <c r="A38" s="5" t="s">
        <v>24</v>
      </c>
      <c r="B38" s="5" t="s">
        <v>232</v>
      </c>
      <c r="C38" s="5" t="s">
        <v>235</v>
      </c>
      <c r="D38" s="12" t="n">
        <v>10.2</v>
      </c>
      <c r="E38" s="9" t="n">
        <v>5150</v>
      </c>
      <c r="F38" s="6" t="n">
        <f aca="false">IF(E38="","",E38*(1+Allgemein!$B$19))</f>
        <v>6128.5</v>
      </c>
    </row>
    <row r="39" customFormat="false" ht="15" hidden="false" customHeight="false" outlineLevel="0" collapsed="false">
      <c r="A39" s="5"/>
      <c r="B39" s="5"/>
      <c r="C39" s="5"/>
      <c r="D39" s="12"/>
      <c r="E39" s="9"/>
      <c r="F39" s="6" t="str">
        <f aca="false">IF(E39="","",E39*(1+Allgemein!$B$19))</f>
        <v/>
      </c>
    </row>
    <row r="40" customFormat="false" ht="15" hidden="false" customHeight="false" outlineLevel="0" collapsed="false">
      <c r="A40" s="5"/>
      <c r="B40" s="5"/>
      <c r="C40" s="5"/>
      <c r="D40" s="12"/>
      <c r="E40" s="9"/>
      <c r="F40" s="6" t="str">
        <f aca="false">IF(E40="","",E40*(1+Allgemein!$B$19))</f>
        <v/>
      </c>
    </row>
    <row r="41" customFormat="false" ht="15" hidden="false" customHeight="false" outlineLevel="0" collapsed="false">
      <c r="A41" s="5"/>
      <c r="B41" s="5"/>
      <c r="C41" s="5"/>
      <c r="D41" s="12"/>
      <c r="E41" s="9"/>
      <c r="F41" s="6" t="str">
        <f aca="false">IF(E41="","",E41*(1+Allgemein!$B$19))</f>
        <v/>
      </c>
    </row>
    <row r="42" customFormat="false" ht="15" hidden="false" customHeight="false" outlineLevel="0" collapsed="false">
      <c r="A42" s="5"/>
      <c r="B42" s="5"/>
      <c r="C42" s="5"/>
      <c r="D42" s="12"/>
      <c r="E42" s="9"/>
      <c r="F42" s="6" t="str">
        <f aca="false">IF(E42="","",E42*(1+Allgemein!$B$19))</f>
        <v/>
      </c>
    </row>
    <row r="43" customFormat="false" ht="15" hidden="false" customHeight="false" outlineLevel="0" collapsed="false">
      <c r="A43" s="5"/>
      <c r="B43" s="5"/>
      <c r="C43" s="5"/>
      <c r="D43" s="12"/>
      <c r="E43" s="9"/>
      <c r="F43" s="6" t="str">
        <f aca="false">IF(E43="","",E43*(1+Allgemein!$B$19))</f>
        <v/>
      </c>
    </row>
    <row r="44" customFormat="false" ht="15" hidden="false" customHeight="false" outlineLevel="0" collapsed="false">
      <c r="A44" s="2" t="s">
        <v>122</v>
      </c>
    </row>
    <row r="46" customFormat="false" ht="15" hidden="false" customHeight="false" outlineLevel="0" collapsed="false">
      <c r="A46" s="3" t="s">
        <v>236</v>
      </c>
    </row>
    <row r="47" customFormat="false" ht="15" hidden="false" customHeight="false" outlineLevel="0" collapsed="false">
      <c r="A47" s="2" t="s">
        <v>237</v>
      </c>
    </row>
    <row r="48" customFormat="false" ht="15" hidden="false" customHeight="false" outlineLevel="0" collapsed="false">
      <c r="A48" s="7" t="s">
        <v>32</v>
      </c>
      <c r="B48" s="7" t="s">
        <v>33</v>
      </c>
      <c r="C48" s="7" t="s">
        <v>34</v>
      </c>
      <c r="D48" s="7" t="s">
        <v>35</v>
      </c>
      <c r="E48" s="7" t="s">
        <v>36</v>
      </c>
    </row>
    <row r="49" customFormat="false" ht="15" hidden="false" customHeight="false" outlineLevel="0" collapsed="false">
      <c r="A49" s="8" t="s">
        <v>238</v>
      </c>
      <c r="B49" s="12" t="n">
        <v>5</v>
      </c>
      <c r="C49" s="8" t="s">
        <v>171</v>
      </c>
      <c r="D49" s="6" t="n">
        <f aca="false">B49*Allgemein!$B$17</f>
        <v>340</v>
      </c>
      <c r="E49" s="6" t="n">
        <f aca="false">D49*(1+Allgemein!$B$19)</f>
        <v>404.6</v>
      </c>
    </row>
    <row r="51" customFormat="false" ht="15" hidden="false" customHeight="false" outlineLevel="0" collapsed="false">
      <c r="A51" s="3" t="s">
        <v>169</v>
      </c>
    </row>
    <row r="52" customFormat="false" ht="15" hidden="false" customHeight="false" outlineLevel="0" collapsed="false">
      <c r="A52" s="7" t="s">
        <v>32</v>
      </c>
      <c r="B52" s="7" t="s">
        <v>33</v>
      </c>
      <c r="C52" s="7" t="s">
        <v>34</v>
      </c>
      <c r="D52" s="7" t="s">
        <v>35</v>
      </c>
      <c r="E52" s="7" t="s">
        <v>36</v>
      </c>
    </row>
    <row r="53" customFormat="false" ht="15" hidden="false" customHeight="false" outlineLevel="0" collapsed="false">
      <c r="A53" s="8" t="s">
        <v>239</v>
      </c>
      <c r="B53" s="12" t="n">
        <v>8</v>
      </c>
      <c r="C53" s="8" t="s">
        <v>171</v>
      </c>
      <c r="D53" s="6" t="n">
        <f aca="false">B53*Allgemein!$B$17</f>
        <v>544</v>
      </c>
      <c r="E53" s="6" t="n">
        <f aca="false">D53*(1+Allgemein!$B$19)</f>
        <v>647.36</v>
      </c>
    </row>
    <row r="54" customFormat="false" ht="15" hidden="false" customHeight="false" outlineLevel="0" collapsed="false">
      <c r="A54" s="8" t="s">
        <v>240</v>
      </c>
      <c r="B54" s="12" t="n">
        <v>0.6</v>
      </c>
      <c r="C54" s="8" t="s">
        <v>171</v>
      </c>
      <c r="D54" s="6" t="n">
        <f aca="false">B54*Allgemein!$B$17</f>
        <v>40.8</v>
      </c>
      <c r="E54" s="6" t="n">
        <f aca="false">D54*(1+Allgemein!$B$19)</f>
        <v>48.552</v>
      </c>
    </row>
    <row r="55" customFormat="false" ht="15" hidden="false" customHeight="false" outlineLevel="0" collapsed="false">
      <c r="A55" s="8" t="s">
        <v>241</v>
      </c>
      <c r="B55" s="12" t="n">
        <v>4</v>
      </c>
      <c r="C55" s="8" t="s">
        <v>171</v>
      </c>
      <c r="D55" s="6" t="n">
        <f aca="false">B55*Allgemein!$B$17</f>
        <v>272</v>
      </c>
      <c r="E55" s="6" t="n">
        <f aca="false">D55*(1+Allgemein!$B$19)</f>
        <v>323.68</v>
      </c>
    </row>
    <row r="56" customFormat="false" ht="15" hidden="false" customHeight="false" outlineLevel="0" collapsed="false">
      <c r="A56" s="8" t="s">
        <v>242</v>
      </c>
      <c r="B56" s="12" t="n">
        <v>4</v>
      </c>
      <c r="C56" s="8" t="s">
        <v>171</v>
      </c>
      <c r="D56" s="6" t="n">
        <f aca="false">B56*Allgemein!$B$17</f>
        <v>272</v>
      </c>
      <c r="E56" s="6" t="n">
        <f aca="false">D56*(1+Allgemein!$B$19)</f>
        <v>323.68</v>
      </c>
    </row>
    <row r="58" customFormat="false" ht="15" hidden="false" customHeight="false" outlineLevel="0" collapsed="false">
      <c r="A58" s="3" t="s">
        <v>179</v>
      </c>
    </row>
    <row r="59" customFormat="false" ht="15" hidden="false" customHeight="false" outlineLevel="0" collapsed="false">
      <c r="A59" s="7" t="s">
        <v>32</v>
      </c>
      <c r="B59" s="7" t="s">
        <v>33</v>
      </c>
      <c r="C59" s="7" t="s">
        <v>34</v>
      </c>
      <c r="D59" s="7" t="s">
        <v>35</v>
      </c>
      <c r="E59" s="7" t="s">
        <v>36</v>
      </c>
    </row>
    <row r="60" customFormat="false" ht="15" hidden="false" customHeight="false" outlineLevel="0" collapsed="false">
      <c r="A60" s="8" t="s">
        <v>243</v>
      </c>
      <c r="B60" s="9" t="n">
        <v>48</v>
      </c>
      <c r="C60" s="8" t="s">
        <v>40</v>
      </c>
      <c r="E60" s="6" t="n">
        <f aca="false">B60*(1+Allgemein!$B$19)</f>
        <v>57.12</v>
      </c>
    </row>
    <row r="61" customFormat="false" ht="15" hidden="false" customHeight="false" outlineLevel="0" collapsed="false">
      <c r="A61" s="8" t="s">
        <v>244</v>
      </c>
      <c r="B61" s="9" t="n">
        <v>480</v>
      </c>
      <c r="C61" s="8" t="s">
        <v>40</v>
      </c>
      <c r="E61" s="6" t="n">
        <f aca="false">B61*(1+Allgemein!$B$19)</f>
        <v>571.2</v>
      </c>
    </row>
    <row r="62" customFormat="false" ht="15" hidden="false" customHeight="false" outlineLevel="0" collapsed="false">
      <c r="A62" s="8" t="s">
        <v>245</v>
      </c>
      <c r="B62" s="9" t="n">
        <v>650</v>
      </c>
      <c r="C62" s="8" t="s">
        <v>40</v>
      </c>
      <c r="E62" s="6" t="n">
        <f aca="false">B62*(1+Allgemein!$B$19)</f>
        <v>773.5</v>
      </c>
    </row>
    <row r="63" customFormat="false" ht="15" hidden="false" customHeight="false" outlineLevel="0" collapsed="false">
      <c r="A63" s="8" t="s">
        <v>246</v>
      </c>
      <c r="B63" s="9" t="n">
        <v>450</v>
      </c>
      <c r="C63" s="8" t="s">
        <v>40</v>
      </c>
      <c r="E63" s="6" t="n">
        <f aca="false">B63*(1+Allgemein!$B$19)</f>
        <v>535.5</v>
      </c>
    </row>
    <row r="64" customFormat="false" ht="15" hidden="false" customHeight="false" outlineLevel="0" collapsed="false">
      <c r="A64" s="8" t="s">
        <v>247</v>
      </c>
      <c r="B64" s="9" t="n">
        <v>250</v>
      </c>
      <c r="C64" s="8" t="s">
        <v>40</v>
      </c>
      <c r="E64" s="6" t="n">
        <f aca="false">B64*(1+Allgemein!$B$19)</f>
        <v>297.5</v>
      </c>
    </row>
    <row r="65" customFormat="false" ht="15" hidden="false" customHeight="false" outlineLevel="0" collapsed="false">
      <c r="A65" s="8" t="s">
        <v>248</v>
      </c>
      <c r="B65" s="9" t="n">
        <v>450</v>
      </c>
      <c r="C65" s="8" t="s">
        <v>40</v>
      </c>
      <c r="E65" s="6" t="n">
        <f aca="false">B65*(1+Allgemein!$B$19)</f>
        <v>535.5</v>
      </c>
    </row>
    <row r="67" customFormat="false" ht="15" hidden="false" customHeight="false" outlineLevel="0" collapsed="false">
      <c r="A67" s="3" t="s">
        <v>249</v>
      </c>
    </row>
    <row r="68" customFormat="false" ht="15" hidden="false" customHeight="false" outlineLevel="0" collapsed="false">
      <c r="A68" s="7" t="s">
        <v>32</v>
      </c>
      <c r="B68" s="7" t="s">
        <v>33</v>
      </c>
      <c r="C68" s="7" t="s">
        <v>34</v>
      </c>
      <c r="D68" s="7" t="s">
        <v>35</v>
      </c>
      <c r="E68" s="7" t="s">
        <v>36</v>
      </c>
    </row>
    <row r="69" customFormat="false" ht="15" hidden="false" customHeight="false" outlineLevel="0" collapsed="false">
      <c r="A69" s="8" t="s">
        <v>250</v>
      </c>
      <c r="B69" s="12" t="n">
        <v>950</v>
      </c>
      <c r="C69" s="8" t="s">
        <v>251</v>
      </c>
    </row>
    <row r="70" customFormat="false" ht="15" hidden="false" customHeight="false" outlineLevel="0" collapsed="false">
      <c r="A70" s="8" t="s">
        <v>252</v>
      </c>
      <c r="B70" s="13" t="n">
        <v>0.35</v>
      </c>
      <c r="C70" s="8" t="s">
        <v>253</v>
      </c>
    </row>
    <row r="71" customFormat="false" ht="15" hidden="false" customHeight="false" outlineLevel="0" collapsed="false">
      <c r="A71" s="8" t="s">
        <v>254</v>
      </c>
      <c r="B71" s="13" t="n">
        <v>0.077</v>
      </c>
      <c r="C71" s="8" t="s">
        <v>253</v>
      </c>
    </row>
  </sheetData>
  <dataValidations count="4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5" type="list">
      <formula1>"Ja,Nein"</formula1>
      <formula2>0</formula2>
    </dataValidation>
    <dataValidation allowBlank="true" errorStyle="stop" operator="between" showDropDown="false" showErrorMessage="true" showInputMessage="false" sqref="A21:A30" type="list">
      <formula1>"Ja,Nein"</formula1>
      <formula2>0</formula2>
    </dataValidation>
    <dataValidation allowBlank="true" errorStyle="stop" operator="between" showDropDown="false" showErrorMessage="true" showInputMessage="false" sqref="A36:A43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255</v>
      </c>
    </row>
    <row r="7" customFormat="false" ht="15" hidden="false" customHeight="false" outlineLevel="0" collapsed="false">
      <c r="A7" s="7" t="s">
        <v>32</v>
      </c>
      <c r="B7" s="7" t="s">
        <v>33</v>
      </c>
      <c r="C7" s="7" t="s">
        <v>34</v>
      </c>
      <c r="D7" s="7" t="s">
        <v>35</v>
      </c>
      <c r="E7" s="7" t="s">
        <v>36</v>
      </c>
    </row>
    <row r="8" customFormat="false" ht="15" hidden="false" customHeight="false" outlineLevel="0" collapsed="false">
      <c r="A8" s="8" t="s">
        <v>256</v>
      </c>
      <c r="B8" s="5" t="s">
        <v>257</v>
      </c>
      <c r="C8" s="8"/>
    </row>
    <row r="9" customFormat="false" ht="15" hidden="false" customHeight="false" outlineLevel="0" collapsed="false">
      <c r="A9" s="8" t="s">
        <v>258</v>
      </c>
      <c r="B9" s="9" t="n">
        <v>900</v>
      </c>
      <c r="C9" s="8" t="s">
        <v>40</v>
      </c>
      <c r="E9" s="6" t="n">
        <f aca="false">B9*(1+Allgemein!$B$19)</f>
        <v>1071</v>
      </c>
    </row>
    <row r="10" customFormat="false" ht="15" hidden="false" customHeight="false" outlineLevel="0" collapsed="false">
      <c r="A10" s="8" t="s">
        <v>259</v>
      </c>
      <c r="B10" s="12" t="n">
        <v>12</v>
      </c>
      <c r="C10" s="8" t="s">
        <v>171</v>
      </c>
      <c r="D10" s="6" t="n">
        <f aca="false">B10*Allgemein!$B$17</f>
        <v>816</v>
      </c>
      <c r="E10" s="6" t="n">
        <f aca="false">D10*(1+Allgemein!$B$19)</f>
        <v>971.04</v>
      </c>
    </row>
    <row r="11" customFormat="false" ht="15" hidden="false" customHeight="false" outlineLevel="0" collapsed="false">
      <c r="A11" s="8" t="s">
        <v>260</v>
      </c>
      <c r="B11" s="9" t="n">
        <v>160</v>
      </c>
      <c r="C11" s="8" t="s">
        <v>40</v>
      </c>
      <c r="E11" s="6" t="n">
        <f aca="false">B11*(1+Allgemein!$B$19)</f>
        <v>190.4</v>
      </c>
    </row>
    <row r="12" customFormat="false" ht="15" hidden="false" customHeight="false" outlineLevel="0" collapsed="false">
      <c r="A12" s="8" t="s">
        <v>261</v>
      </c>
      <c r="B12" s="12" t="n">
        <v>1.5</v>
      </c>
      <c r="C12" s="8" t="s">
        <v>171</v>
      </c>
      <c r="D12" s="6" t="n">
        <f aca="false">B12*Allgemein!$B$17</f>
        <v>102</v>
      </c>
      <c r="E12" s="6" t="n">
        <f aca="false">D12*(1+Allgemein!$B$19)</f>
        <v>121.38</v>
      </c>
    </row>
    <row r="13" customFormat="false" ht="15" hidden="false" customHeight="false" outlineLevel="0" collapsed="false">
      <c r="A13" s="8" t="s">
        <v>262</v>
      </c>
      <c r="B13" s="9" t="n">
        <v>120</v>
      </c>
      <c r="C13" s="8" t="s">
        <v>40</v>
      </c>
      <c r="E13" s="6" t="n">
        <f aca="false">B13*(1+Allgemein!$B$19)</f>
        <v>142.8</v>
      </c>
    </row>
    <row r="14" customFormat="false" ht="15" hidden="false" customHeight="false" outlineLevel="0" collapsed="false">
      <c r="A14" s="8" t="s">
        <v>263</v>
      </c>
      <c r="B14" s="12" t="n">
        <v>1</v>
      </c>
      <c r="C14" s="8" t="s">
        <v>171</v>
      </c>
      <c r="D14" s="6" t="n">
        <f aca="false">B14*Allgemein!$B$17</f>
        <v>68</v>
      </c>
      <c r="E14" s="6" t="n">
        <f aca="false">D14*(1+Allgemein!$B$19)</f>
        <v>80.92</v>
      </c>
    </row>
    <row r="15" customFormat="false" ht="15" hidden="false" customHeight="false" outlineLevel="0" collapsed="false">
      <c r="A15" s="8" t="s">
        <v>264</v>
      </c>
      <c r="B15" s="9" t="n">
        <v>140</v>
      </c>
      <c r="C15" s="8" t="s">
        <v>40</v>
      </c>
      <c r="E15" s="6" t="n">
        <f aca="false">B15*(1+Allgemein!$B$19)</f>
        <v>166.6</v>
      </c>
    </row>
    <row r="16" customFormat="false" ht="15" hidden="false" customHeight="false" outlineLevel="0" collapsed="false">
      <c r="A16" s="8" t="s">
        <v>265</v>
      </c>
      <c r="B16" s="12" t="n">
        <v>1.5</v>
      </c>
      <c r="C16" s="8" t="s">
        <v>171</v>
      </c>
      <c r="D16" s="6" t="n">
        <f aca="false">B16*Allgemein!$B$17</f>
        <v>102</v>
      </c>
      <c r="E16" s="6" t="n">
        <f aca="false">D16*(1+Allgemein!$B$19)</f>
        <v>121.38</v>
      </c>
    </row>
    <row r="17" customFormat="false" ht="15" hidden="false" customHeight="false" outlineLevel="0" collapsed="false">
      <c r="A17" s="8" t="s">
        <v>266</v>
      </c>
      <c r="B17" s="9" t="n">
        <v>600</v>
      </c>
      <c r="C17" s="8" t="s">
        <v>40</v>
      </c>
      <c r="E17" s="6" t="n">
        <f aca="false">B17*(1+Allgemein!$B$19)</f>
        <v>714</v>
      </c>
    </row>
    <row r="18" customFormat="false" ht="15" hidden="false" customHeight="false" outlineLevel="0" collapsed="false">
      <c r="A18" s="8" t="s">
        <v>267</v>
      </c>
      <c r="B18" s="12" t="n">
        <v>5</v>
      </c>
      <c r="C18" s="8" t="s">
        <v>171</v>
      </c>
      <c r="D18" s="6" t="n">
        <f aca="false">B18*Allgemein!$B$17</f>
        <v>340</v>
      </c>
      <c r="E18" s="6" t="n">
        <f aca="false">D18*(1+Allgemein!$B$19)</f>
        <v>404.6</v>
      </c>
    </row>
    <row r="20" customFormat="false" ht="15" hidden="false" customHeight="false" outlineLevel="0" collapsed="false">
      <c r="A20" s="3" t="s">
        <v>268</v>
      </c>
    </row>
    <row r="21" customFormat="false" ht="15" hidden="false" customHeight="false" outlineLevel="0" collapsed="false">
      <c r="A21" s="7" t="s">
        <v>32</v>
      </c>
      <c r="B21" s="7" t="s">
        <v>33</v>
      </c>
      <c r="C21" s="7" t="s">
        <v>34</v>
      </c>
      <c r="D21" s="7" t="s">
        <v>35</v>
      </c>
      <c r="E21" s="7" t="s">
        <v>36</v>
      </c>
    </row>
    <row r="22" customFormat="false" ht="15" hidden="false" customHeight="false" outlineLevel="0" collapsed="false">
      <c r="A22" s="8" t="s">
        <v>256</v>
      </c>
      <c r="B22" s="5" t="s">
        <v>269</v>
      </c>
      <c r="C22" s="8"/>
    </row>
    <row r="23" customFormat="false" ht="15" hidden="false" customHeight="false" outlineLevel="0" collapsed="false">
      <c r="A23" s="8" t="s">
        <v>258</v>
      </c>
      <c r="B23" s="9" t="n">
        <v>180</v>
      </c>
      <c r="C23" s="8" t="s">
        <v>40</v>
      </c>
      <c r="E23" s="6" t="n">
        <f aca="false">B23*(1+Allgemein!$B$19)</f>
        <v>214.2</v>
      </c>
    </row>
    <row r="24" customFormat="false" ht="15" hidden="false" customHeight="false" outlineLevel="0" collapsed="false">
      <c r="A24" s="8" t="s">
        <v>259</v>
      </c>
      <c r="B24" s="12" t="n">
        <v>3</v>
      </c>
      <c r="C24" s="8" t="s">
        <v>171</v>
      </c>
      <c r="D24" s="6" t="n">
        <f aca="false">B24*Allgemein!$B$17</f>
        <v>204</v>
      </c>
      <c r="E24" s="6" t="n">
        <f aca="false">D24*(1+Allgemein!$B$19)</f>
        <v>242.76</v>
      </c>
    </row>
    <row r="25" customFormat="false" ht="15" hidden="false" customHeight="false" outlineLevel="0" collapsed="false">
      <c r="A25" s="8" t="s">
        <v>260</v>
      </c>
      <c r="B25" s="9" t="n">
        <v>75</v>
      </c>
      <c r="C25" s="8" t="s">
        <v>40</v>
      </c>
      <c r="E25" s="6" t="n">
        <f aca="false">B25*(1+Allgemein!$B$19)</f>
        <v>89.25</v>
      </c>
    </row>
    <row r="26" customFormat="false" ht="15" hidden="false" customHeight="false" outlineLevel="0" collapsed="false">
      <c r="A26" s="8" t="s">
        <v>261</v>
      </c>
      <c r="B26" s="12" t="n">
        <v>1.25</v>
      </c>
      <c r="C26" s="8" t="s">
        <v>171</v>
      </c>
      <c r="D26" s="6" t="n">
        <f aca="false">B26*Allgemein!$B$17</f>
        <v>85</v>
      </c>
      <c r="E26" s="6" t="n">
        <f aca="false">D26*(1+Allgemein!$B$19)</f>
        <v>101.15</v>
      </c>
    </row>
    <row r="27" customFormat="false" ht="15" hidden="false" customHeight="false" outlineLevel="0" collapsed="false">
      <c r="A27" s="8" t="s">
        <v>262</v>
      </c>
      <c r="B27" s="9" t="n">
        <v>65</v>
      </c>
      <c r="C27" s="8" t="s">
        <v>40</v>
      </c>
      <c r="E27" s="6" t="n">
        <f aca="false">B27*(1+Allgemein!$B$19)</f>
        <v>77.35</v>
      </c>
    </row>
    <row r="28" customFormat="false" ht="15" hidden="false" customHeight="false" outlineLevel="0" collapsed="false">
      <c r="A28" s="8" t="s">
        <v>263</v>
      </c>
      <c r="B28" s="12" t="n">
        <v>0.75</v>
      </c>
      <c r="C28" s="8" t="s">
        <v>171</v>
      </c>
      <c r="D28" s="6" t="n">
        <f aca="false">B28*Allgemein!$B$17</f>
        <v>51</v>
      </c>
      <c r="E28" s="6" t="n">
        <f aca="false">D28*(1+Allgemein!$B$19)</f>
        <v>60.69</v>
      </c>
    </row>
    <row r="29" customFormat="false" ht="15" hidden="false" customHeight="false" outlineLevel="0" collapsed="false">
      <c r="A29" s="8" t="s">
        <v>264</v>
      </c>
      <c r="B29" s="9" t="n">
        <v>70</v>
      </c>
      <c r="C29" s="8" t="s">
        <v>40</v>
      </c>
      <c r="E29" s="6" t="n">
        <f aca="false">B29*(1+Allgemein!$B$19)</f>
        <v>83.3</v>
      </c>
    </row>
    <row r="30" customFormat="false" ht="15" hidden="false" customHeight="false" outlineLevel="0" collapsed="false">
      <c r="A30" s="8" t="s">
        <v>265</v>
      </c>
      <c r="B30" s="12" t="n">
        <v>1.25</v>
      </c>
      <c r="C30" s="8" t="s">
        <v>171</v>
      </c>
      <c r="D30" s="6" t="n">
        <f aca="false">B30*Allgemein!$B$17</f>
        <v>85</v>
      </c>
      <c r="E30" s="6" t="n">
        <f aca="false">D30*(1+Allgemein!$B$19)</f>
        <v>101.15</v>
      </c>
    </row>
    <row r="31" customFormat="false" ht="15" hidden="false" customHeight="false" outlineLevel="0" collapsed="false">
      <c r="A31" s="8" t="s">
        <v>266</v>
      </c>
      <c r="B31" s="9" t="n">
        <v>450</v>
      </c>
      <c r="C31" s="8" t="s">
        <v>40</v>
      </c>
      <c r="E31" s="6" t="n">
        <f aca="false">B31*(1+Allgemein!$B$19)</f>
        <v>535.5</v>
      </c>
    </row>
    <row r="32" customFormat="false" ht="15" hidden="false" customHeight="false" outlineLevel="0" collapsed="false">
      <c r="A32" s="8" t="s">
        <v>267</v>
      </c>
      <c r="B32" s="12" t="n">
        <v>4</v>
      </c>
      <c r="C32" s="8" t="s">
        <v>171</v>
      </c>
      <c r="D32" s="6" t="n">
        <f aca="false">B32*Allgemein!$B$17</f>
        <v>272</v>
      </c>
      <c r="E32" s="6" t="n">
        <f aca="false">D32*(1+Allgemein!$B$19)</f>
        <v>323.68</v>
      </c>
    </row>
    <row r="34" customFormat="false" ht="15" hidden="false" customHeight="false" outlineLevel="0" collapsed="false">
      <c r="A34" s="3" t="s">
        <v>270</v>
      </c>
    </row>
    <row r="35" customFormat="false" ht="15" hidden="false" customHeight="false" outlineLevel="0" collapsed="false">
      <c r="A35" s="7" t="s">
        <v>32</v>
      </c>
      <c r="B35" s="7" t="s">
        <v>33</v>
      </c>
      <c r="C35" s="7" t="s">
        <v>34</v>
      </c>
      <c r="D35" s="7" t="s">
        <v>35</v>
      </c>
      <c r="E35" s="7" t="s">
        <v>36</v>
      </c>
    </row>
    <row r="36" customFormat="false" ht="15" hidden="false" customHeight="false" outlineLevel="0" collapsed="false">
      <c r="A36" s="8" t="s">
        <v>256</v>
      </c>
      <c r="B36" s="5" t="s">
        <v>271</v>
      </c>
      <c r="C36" s="8"/>
    </row>
    <row r="37" customFormat="false" ht="15" hidden="false" customHeight="false" outlineLevel="0" collapsed="false">
      <c r="A37" s="8" t="s">
        <v>258</v>
      </c>
      <c r="B37" s="9" t="n">
        <v>1300</v>
      </c>
      <c r="C37" s="8" t="s">
        <v>40</v>
      </c>
      <c r="E37" s="6" t="n">
        <f aca="false">B37*(1+Allgemein!$B$19)</f>
        <v>1547</v>
      </c>
    </row>
    <row r="38" customFormat="false" ht="15" hidden="false" customHeight="false" outlineLevel="0" collapsed="false">
      <c r="A38" s="8" t="s">
        <v>259</v>
      </c>
      <c r="B38" s="12" t="n">
        <v>14</v>
      </c>
      <c r="C38" s="8" t="s">
        <v>171</v>
      </c>
      <c r="D38" s="6" t="n">
        <f aca="false">B38*Allgemein!$B$17</f>
        <v>952</v>
      </c>
      <c r="E38" s="6" t="n">
        <f aca="false">D38*(1+Allgemein!$B$19)</f>
        <v>1132.88</v>
      </c>
    </row>
    <row r="39" customFormat="false" ht="15" hidden="false" customHeight="false" outlineLevel="0" collapsed="false">
      <c r="A39" s="8" t="s">
        <v>260</v>
      </c>
      <c r="B39" s="9" t="n">
        <v>180</v>
      </c>
      <c r="C39" s="8" t="s">
        <v>40</v>
      </c>
      <c r="E39" s="6" t="n">
        <f aca="false">B39*(1+Allgemein!$B$19)</f>
        <v>214.2</v>
      </c>
    </row>
    <row r="40" customFormat="false" ht="15" hidden="false" customHeight="false" outlineLevel="0" collapsed="false">
      <c r="A40" s="8" t="s">
        <v>261</v>
      </c>
      <c r="B40" s="12" t="n">
        <v>2</v>
      </c>
      <c r="C40" s="8" t="s">
        <v>171</v>
      </c>
      <c r="D40" s="6" t="n">
        <f aca="false">B40*Allgemein!$B$17</f>
        <v>136</v>
      </c>
      <c r="E40" s="6" t="n">
        <f aca="false">D40*(1+Allgemein!$B$19)</f>
        <v>161.84</v>
      </c>
    </row>
    <row r="41" customFormat="false" ht="15" hidden="false" customHeight="false" outlineLevel="0" collapsed="false">
      <c r="A41" s="8" t="s">
        <v>262</v>
      </c>
      <c r="B41" s="9" t="n">
        <v>140</v>
      </c>
      <c r="C41" s="8" t="s">
        <v>40</v>
      </c>
      <c r="E41" s="6" t="n">
        <f aca="false">B41*(1+Allgemein!$B$19)</f>
        <v>166.6</v>
      </c>
    </row>
    <row r="42" customFormat="false" ht="15" hidden="false" customHeight="false" outlineLevel="0" collapsed="false">
      <c r="A42" s="8" t="s">
        <v>263</v>
      </c>
      <c r="B42" s="12" t="n">
        <v>1.5</v>
      </c>
      <c r="C42" s="8" t="s">
        <v>171</v>
      </c>
      <c r="D42" s="6" t="n">
        <f aca="false">B42*Allgemein!$B$17</f>
        <v>102</v>
      </c>
      <c r="E42" s="6" t="n">
        <f aca="false">D42*(1+Allgemein!$B$19)</f>
        <v>121.38</v>
      </c>
    </row>
    <row r="43" customFormat="false" ht="15" hidden="false" customHeight="false" outlineLevel="0" collapsed="false">
      <c r="A43" s="8" t="s">
        <v>264</v>
      </c>
      <c r="B43" s="9" t="n">
        <v>150</v>
      </c>
      <c r="C43" s="8" t="s">
        <v>40</v>
      </c>
      <c r="E43" s="6" t="n">
        <f aca="false">B43*(1+Allgemein!$B$19)</f>
        <v>178.5</v>
      </c>
    </row>
    <row r="44" customFormat="false" ht="15" hidden="false" customHeight="false" outlineLevel="0" collapsed="false">
      <c r="A44" s="8" t="s">
        <v>265</v>
      </c>
      <c r="B44" s="12" t="n">
        <v>1.75</v>
      </c>
      <c r="C44" s="8" t="s">
        <v>171</v>
      </c>
      <c r="D44" s="6" t="n">
        <f aca="false">B44*Allgemein!$B$17</f>
        <v>119</v>
      </c>
      <c r="E44" s="6" t="n">
        <f aca="false">D44*(1+Allgemein!$B$19)</f>
        <v>141.61</v>
      </c>
    </row>
    <row r="45" customFormat="false" ht="15" hidden="false" customHeight="false" outlineLevel="0" collapsed="false">
      <c r="A45" s="8" t="s">
        <v>266</v>
      </c>
      <c r="B45" s="9" t="n">
        <v>700</v>
      </c>
      <c r="C45" s="8" t="s">
        <v>40</v>
      </c>
      <c r="E45" s="6" t="n">
        <f aca="false">B45*(1+Allgemein!$B$19)</f>
        <v>833</v>
      </c>
    </row>
    <row r="46" customFormat="false" ht="15" hidden="false" customHeight="false" outlineLevel="0" collapsed="false">
      <c r="A46" s="8" t="s">
        <v>267</v>
      </c>
      <c r="B46" s="12" t="n">
        <v>7</v>
      </c>
      <c r="C46" s="8" t="s">
        <v>171</v>
      </c>
      <c r="D46" s="6" t="n">
        <f aca="false">B46*Allgemein!$B$17</f>
        <v>476</v>
      </c>
      <c r="E46" s="6" t="n">
        <f aca="false">D46*(1+Allgemein!$B$19)</f>
        <v>566.44</v>
      </c>
    </row>
  </sheetData>
  <dataValidations count="1">
    <dataValidation allowBlank="true" errorStyle="stop" operator="between" showDropDown="false" showErrorMessage="true" showInputMessage="false" sqref="B4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272</v>
      </c>
    </row>
    <row r="2" customFormat="false" ht="15" hidden="false" customHeight="false" outlineLevel="0" collapsed="false">
      <c r="A2" s="2" t="s">
        <v>273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274</v>
      </c>
    </row>
    <row r="7" customFormat="false" ht="15" hidden="false" customHeight="false" outlineLevel="0" collapsed="false">
      <c r="A7" s="2" t="s">
        <v>275</v>
      </c>
    </row>
    <row r="8" customFormat="false" ht="15" hidden="false" customHeight="false" outlineLevel="0" collapsed="false">
      <c r="A8" s="7" t="s">
        <v>56</v>
      </c>
      <c r="B8" s="7" t="s">
        <v>276</v>
      </c>
    </row>
    <row r="9" customFormat="false" ht="15" hidden="false" customHeight="false" outlineLevel="0" collapsed="false">
      <c r="A9" s="5" t="s">
        <v>24</v>
      </c>
      <c r="B9" s="5" t="s">
        <v>277</v>
      </c>
    </row>
    <row r="10" customFormat="false" ht="15" hidden="false" customHeight="false" outlineLevel="0" collapsed="false">
      <c r="A10" s="5" t="s">
        <v>24</v>
      </c>
      <c r="B10" s="5" t="s">
        <v>278</v>
      </c>
    </row>
    <row r="11" customFormat="false" ht="15" hidden="false" customHeight="false" outlineLevel="0" collapsed="false">
      <c r="A11" s="5" t="s">
        <v>24</v>
      </c>
      <c r="B11" s="5" t="s">
        <v>279</v>
      </c>
    </row>
    <row r="12" customFormat="false" ht="15" hidden="false" customHeight="false" outlineLevel="0" collapsed="false">
      <c r="A12" s="5"/>
      <c r="B12" s="5"/>
    </row>
    <row r="13" customFormat="false" ht="15" hidden="false" customHeight="false" outlineLevel="0" collapsed="false">
      <c r="A13" s="5"/>
      <c r="B13" s="5"/>
    </row>
    <row r="14" customFormat="false" ht="15" hidden="false" customHeight="false" outlineLevel="0" collapsed="false">
      <c r="A14" s="5"/>
      <c r="B14" s="5"/>
    </row>
    <row r="15" customFormat="false" ht="15" hidden="false" customHeight="false" outlineLevel="0" collapsed="false">
      <c r="A15" s="5"/>
      <c r="B15" s="5"/>
    </row>
    <row r="16" customFormat="false" ht="15" hidden="false" customHeight="false" outlineLevel="0" collapsed="false">
      <c r="A16" s="5"/>
      <c r="B16" s="5"/>
    </row>
    <row r="17" customFormat="false" ht="15" hidden="false" customHeight="false" outlineLevel="0" collapsed="false">
      <c r="A17" s="2" t="s">
        <v>122</v>
      </c>
    </row>
    <row r="19" customFormat="false" ht="15" hidden="false" customHeight="false" outlineLevel="0" collapsed="false">
      <c r="A19" s="3" t="s">
        <v>280</v>
      </c>
    </row>
    <row r="20" customFormat="false" ht="15" hidden="false" customHeight="false" outlineLevel="0" collapsed="false">
      <c r="A20" s="2" t="s">
        <v>281</v>
      </c>
    </row>
    <row r="21" customFormat="false" ht="35.05" hidden="false" customHeight="false" outlineLevel="0" collapsed="false">
      <c r="A21" s="7" t="s">
        <v>56</v>
      </c>
      <c r="B21" s="7" t="s">
        <v>57</v>
      </c>
      <c r="C21" s="7" t="s">
        <v>282</v>
      </c>
      <c r="D21" s="7" t="s">
        <v>58</v>
      </c>
      <c r="E21" s="7" t="s">
        <v>283</v>
      </c>
      <c r="F21" s="7" t="s">
        <v>70</v>
      </c>
      <c r="G21" s="7" t="s">
        <v>284</v>
      </c>
      <c r="H21" s="7" t="s">
        <v>285</v>
      </c>
      <c r="I21" s="7" t="s">
        <v>286</v>
      </c>
      <c r="J21" s="7" t="s">
        <v>68</v>
      </c>
      <c r="K21" s="7" t="s">
        <v>69</v>
      </c>
    </row>
    <row r="22" customFormat="false" ht="15" hidden="false" customHeight="false" outlineLevel="0" collapsed="false">
      <c r="A22" s="5" t="s">
        <v>24</v>
      </c>
      <c r="B22" s="5" t="s">
        <v>277</v>
      </c>
      <c r="C22" s="5" t="s">
        <v>287</v>
      </c>
      <c r="D22" s="5" t="s">
        <v>288</v>
      </c>
      <c r="E22" s="5" t="s">
        <v>289</v>
      </c>
      <c r="F22" s="9" t="n">
        <v>599</v>
      </c>
      <c r="G22" s="9" t="n">
        <v>49</v>
      </c>
      <c r="H22" s="5" t="s">
        <v>290</v>
      </c>
      <c r="I22" s="5" t="s">
        <v>291</v>
      </c>
      <c r="J22" s="5"/>
      <c r="K22" s="5"/>
    </row>
    <row r="23" customFormat="false" ht="15" hidden="false" customHeight="false" outlineLevel="0" collapsed="false">
      <c r="A23" s="5" t="s">
        <v>24</v>
      </c>
      <c r="B23" s="5" t="s">
        <v>277</v>
      </c>
      <c r="C23" s="5" t="s">
        <v>287</v>
      </c>
      <c r="D23" s="5" t="s">
        <v>292</v>
      </c>
      <c r="E23" s="5" t="s">
        <v>289</v>
      </c>
      <c r="F23" s="9" t="n">
        <v>799</v>
      </c>
      <c r="G23" s="9" t="n">
        <v>49</v>
      </c>
      <c r="H23" s="5" t="s">
        <v>290</v>
      </c>
      <c r="I23" s="5" t="s">
        <v>291</v>
      </c>
      <c r="J23" s="5"/>
      <c r="K23" s="5"/>
    </row>
    <row r="24" customFormat="false" ht="15" hidden="false" customHeight="false" outlineLevel="0" collapsed="false">
      <c r="A24" s="5" t="s">
        <v>24</v>
      </c>
      <c r="B24" s="5" t="s">
        <v>277</v>
      </c>
      <c r="C24" s="5" t="s">
        <v>293</v>
      </c>
      <c r="D24" s="5" t="s">
        <v>294</v>
      </c>
      <c r="E24" s="5" t="s">
        <v>289</v>
      </c>
      <c r="F24" s="9" t="n">
        <v>849</v>
      </c>
      <c r="G24" s="9" t="n">
        <v>39</v>
      </c>
      <c r="H24" s="5" t="s">
        <v>88</v>
      </c>
      <c r="I24" s="5" t="s">
        <v>295</v>
      </c>
      <c r="J24" s="5"/>
      <c r="K24" s="5"/>
    </row>
    <row r="25" customFormat="false" ht="15" hidden="false" customHeight="false" outlineLevel="0" collapsed="false">
      <c r="A25" s="5" t="s">
        <v>24</v>
      </c>
      <c r="B25" s="5" t="s">
        <v>277</v>
      </c>
      <c r="C25" s="5" t="s">
        <v>296</v>
      </c>
      <c r="D25" s="5" t="s">
        <v>297</v>
      </c>
      <c r="E25" s="5" t="s">
        <v>289</v>
      </c>
      <c r="F25" s="9" t="n">
        <v>649</v>
      </c>
      <c r="G25" s="9" t="n">
        <v>149</v>
      </c>
      <c r="H25" s="5" t="s">
        <v>298</v>
      </c>
      <c r="I25" s="5" t="s">
        <v>291</v>
      </c>
      <c r="J25" s="5"/>
      <c r="K25" s="5"/>
    </row>
    <row r="26" customFormat="false" ht="15" hidden="false" customHeight="false" outlineLevel="0" collapsed="false">
      <c r="A26" s="5" t="s">
        <v>24</v>
      </c>
      <c r="B26" s="5" t="s">
        <v>277</v>
      </c>
      <c r="C26" s="5" t="s">
        <v>299</v>
      </c>
      <c r="D26" s="5" t="s">
        <v>300</v>
      </c>
      <c r="E26" s="5" t="s">
        <v>289</v>
      </c>
      <c r="F26" s="9" t="n">
        <v>699</v>
      </c>
      <c r="G26" s="9" t="n">
        <v>129</v>
      </c>
      <c r="H26" s="5" t="s">
        <v>82</v>
      </c>
      <c r="I26" s="5" t="s">
        <v>295</v>
      </c>
      <c r="J26" s="5"/>
      <c r="K26" s="5"/>
    </row>
    <row r="27" customFormat="false" ht="15" hidden="false" customHeight="false" outlineLevel="0" collapsed="false">
      <c r="A27" s="5" t="s">
        <v>24</v>
      </c>
      <c r="B27" s="5" t="s">
        <v>277</v>
      </c>
      <c r="C27" s="5" t="s">
        <v>301</v>
      </c>
      <c r="D27" s="5" t="s">
        <v>302</v>
      </c>
      <c r="E27" s="5" t="s">
        <v>289</v>
      </c>
      <c r="F27" s="9" t="n">
        <v>749</v>
      </c>
      <c r="G27" s="9" t="n">
        <v>39</v>
      </c>
      <c r="H27" s="5" t="s">
        <v>298</v>
      </c>
      <c r="I27" s="5" t="s">
        <v>291</v>
      </c>
      <c r="J27" s="5"/>
      <c r="K27" s="5"/>
    </row>
    <row r="28" customFormat="false" ht="15" hidden="false" customHeight="false" outlineLevel="0" collapsed="false">
      <c r="A28" s="5" t="s">
        <v>24</v>
      </c>
      <c r="B28" s="5" t="s">
        <v>278</v>
      </c>
      <c r="C28" s="5" t="s">
        <v>287</v>
      </c>
      <c r="D28" s="5" t="s">
        <v>303</v>
      </c>
      <c r="E28" s="5" t="s">
        <v>289</v>
      </c>
      <c r="F28" s="9" t="n">
        <v>1199</v>
      </c>
      <c r="G28" s="9" t="n">
        <v>49</v>
      </c>
      <c r="H28" s="5" t="s">
        <v>290</v>
      </c>
      <c r="I28" s="5" t="s">
        <v>291</v>
      </c>
      <c r="J28" s="5"/>
      <c r="K28" s="5"/>
    </row>
    <row r="29" customFormat="false" ht="15" hidden="false" customHeight="false" outlineLevel="0" collapsed="false">
      <c r="A29" s="5" t="s">
        <v>24</v>
      </c>
      <c r="B29" s="5" t="s">
        <v>279</v>
      </c>
      <c r="C29" s="5" t="s">
        <v>301</v>
      </c>
      <c r="D29" s="5" t="s">
        <v>304</v>
      </c>
      <c r="E29" s="5" t="s">
        <v>289</v>
      </c>
      <c r="F29" s="9" t="n">
        <v>999</v>
      </c>
      <c r="G29" s="9" t="n">
        <v>39</v>
      </c>
      <c r="H29" s="5" t="s">
        <v>298</v>
      </c>
      <c r="I29" s="5" t="s">
        <v>291</v>
      </c>
      <c r="J29" s="5"/>
      <c r="K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9"/>
      <c r="G30" s="9"/>
      <c r="H30" s="5"/>
      <c r="I30" s="5"/>
      <c r="J30" s="5"/>
      <c r="K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9"/>
      <c r="G31" s="9"/>
      <c r="H31" s="5"/>
      <c r="I31" s="5"/>
      <c r="J31" s="5"/>
      <c r="K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9"/>
      <c r="G32" s="9"/>
      <c r="H32" s="5"/>
      <c r="I32" s="5"/>
      <c r="J32" s="5"/>
      <c r="K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9"/>
      <c r="G33" s="9"/>
      <c r="H33" s="5"/>
      <c r="I33" s="5"/>
      <c r="J33" s="5"/>
      <c r="K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9"/>
      <c r="G34" s="9"/>
      <c r="H34" s="5"/>
      <c r="I34" s="5"/>
      <c r="J34" s="5"/>
      <c r="K34" s="5"/>
    </row>
    <row r="35" customFormat="false" ht="15" hidden="false" customHeight="false" outlineLevel="0" collapsed="false">
      <c r="A35" s="2" t="s">
        <v>122</v>
      </c>
    </row>
    <row r="37" customFormat="false" ht="15" hidden="false" customHeight="false" outlineLevel="0" collapsed="false">
      <c r="A37" s="3" t="s">
        <v>305</v>
      </c>
    </row>
    <row r="38" customFormat="false" ht="15" hidden="false" customHeight="false" outlineLevel="0" collapsed="false">
      <c r="A38" s="7" t="s">
        <v>32</v>
      </c>
      <c r="B38" s="7" t="s">
        <v>33</v>
      </c>
      <c r="C38" s="7" t="s">
        <v>34</v>
      </c>
      <c r="D38" s="7" t="s">
        <v>35</v>
      </c>
      <c r="E38" s="7" t="s">
        <v>36</v>
      </c>
    </row>
    <row r="39" customFormat="false" ht="15" hidden="false" customHeight="false" outlineLevel="0" collapsed="false">
      <c r="A39" s="8" t="s">
        <v>306</v>
      </c>
      <c r="B39" s="9" t="n">
        <v>39</v>
      </c>
      <c r="C39" s="8" t="s">
        <v>40</v>
      </c>
    </row>
    <row r="40" customFormat="false" ht="15" hidden="false" customHeight="false" outlineLevel="0" collapsed="false">
      <c r="A40" s="8" t="s">
        <v>307</v>
      </c>
      <c r="B40" s="9" t="n">
        <v>25</v>
      </c>
      <c r="C40" s="8" t="s">
        <v>40</v>
      </c>
    </row>
    <row r="41" customFormat="false" ht="15" hidden="false" customHeight="false" outlineLevel="0" collapsed="false">
      <c r="A41" s="8" t="s">
        <v>308</v>
      </c>
      <c r="B41" s="5" t="s">
        <v>309</v>
      </c>
      <c r="C41" s="8"/>
    </row>
    <row r="42" customFormat="false" ht="15" hidden="false" customHeight="false" outlineLevel="0" collapsed="false">
      <c r="A42" s="8" t="s">
        <v>310</v>
      </c>
      <c r="B42" s="5" t="s">
        <v>311</v>
      </c>
      <c r="C42" s="8"/>
    </row>
    <row r="43" customFormat="false" ht="15" hidden="false" customHeight="false" outlineLevel="0" collapsed="false">
      <c r="A43" s="8" t="s">
        <v>312</v>
      </c>
      <c r="B43" s="5" t="s">
        <v>313</v>
      </c>
      <c r="C43" s="8"/>
    </row>
  </sheetData>
  <dataValidations count="6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9:A16" type="list">
      <formula1>"Ja,Nein"</formula1>
      <formula2>0</formula2>
    </dataValidation>
    <dataValidation allowBlank="true" errorStyle="stop" operator="between" showDropDown="false" showErrorMessage="true" showInputMessage="false" sqref="A22:A34" type="list">
      <formula1>"Ja,Nein"</formula1>
      <formula2>0</formula2>
    </dataValidation>
    <dataValidation allowBlank="true" errorStyle="stop" operator="between" showDropDown="false" showErrorMessage="true" showInputMessage="false" sqref="B22:B34" type="list">
      <formula1>"Siemens Hausgeräte,Miele,Liebherr"</formula1>
      <formula2>0</formula2>
    </dataValidation>
    <dataValidation allowBlank="true" errorStyle="stop" operator="between" showDropDown="false" showErrorMessage="true" showInputMessage="false" sqref="H22:H34" type="list">
      <formula1>"–,A+++,A++,A+,A,B,C,D,E,F,G"</formula1>
      <formula2>0</formula2>
    </dataValidation>
    <dataValidation allowBlank="true" errorStyle="stop" operator="between" showDropDown="false" showErrorMessage="true" showInputMessage="false" sqref="I22:I34" type="list">
      <formula1>"A–G (nuova),A+++–D"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7" min="4" style="0" width="18"/>
    <col collapsed="false" customWidth="true" hidden="false" outlineLevel="0" max="10" min="8" style="0" width="16"/>
  </cols>
  <sheetData>
    <row r="1" customFormat="false" ht="19.7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8" t="s">
        <v>53</v>
      </c>
      <c r="B4" s="5" t="s">
        <v>24</v>
      </c>
    </row>
    <row r="6" customFormat="false" ht="15" hidden="false" customHeight="false" outlineLevel="0" collapsed="false">
      <c r="A6" s="3" t="s">
        <v>314</v>
      </c>
    </row>
    <row r="7" customFormat="false" ht="15" hidden="false" customHeight="false" outlineLevel="0" collapsed="false">
      <c r="A7" s="7" t="s">
        <v>32</v>
      </c>
      <c r="B7" s="7" t="s">
        <v>33</v>
      </c>
      <c r="C7" s="7" t="s">
        <v>34</v>
      </c>
      <c r="D7" s="7" t="s">
        <v>35</v>
      </c>
      <c r="E7" s="7" t="s">
        <v>36</v>
      </c>
    </row>
    <row r="8" customFormat="false" ht="15" hidden="false" customHeight="false" outlineLevel="0" collapsed="false">
      <c r="A8" s="8" t="s">
        <v>315</v>
      </c>
      <c r="B8" s="9" t="n">
        <v>42</v>
      </c>
      <c r="C8" s="8" t="s">
        <v>40</v>
      </c>
      <c r="E8" s="6" t="n">
        <f aca="false">B8*(1+Allgemein!$B$19)</f>
        <v>49.98</v>
      </c>
    </row>
    <row r="9" customFormat="false" ht="15" hidden="false" customHeight="false" outlineLevel="0" collapsed="false">
      <c r="A9" s="8" t="s">
        <v>316</v>
      </c>
      <c r="B9" s="12" t="n">
        <v>0.75</v>
      </c>
      <c r="C9" s="8" t="s">
        <v>171</v>
      </c>
      <c r="D9" s="6" t="n">
        <f aca="false">B9*Allgemein!$B$17</f>
        <v>51</v>
      </c>
      <c r="E9" s="6" t="n">
        <f aca="false">D9*(1+Allgemein!$B$19)</f>
        <v>60.69</v>
      </c>
    </row>
    <row r="10" customFormat="false" ht="15" hidden="false" customHeight="false" outlineLevel="0" collapsed="false">
      <c r="A10" s="8" t="s">
        <v>317</v>
      </c>
      <c r="B10" s="9" t="n">
        <v>52</v>
      </c>
      <c r="C10" s="8" t="s">
        <v>40</v>
      </c>
      <c r="E10" s="6" t="n">
        <f aca="false">B10*(1+Allgemein!$B$19)</f>
        <v>61.88</v>
      </c>
    </row>
    <row r="11" customFormat="false" ht="15" hidden="false" customHeight="false" outlineLevel="0" collapsed="false">
      <c r="A11" s="8" t="s">
        <v>318</v>
      </c>
      <c r="B11" s="12" t="n">
        <v>1.2</v>
      </c>
      <c r="C11" s="8" t="s">
        <v>171</v>
      </c>
      <c r="D11" s="6" t="n">
        <f aca="false">B11*Allgemein!$B$17</f>
        <v>81.6</v>
      </c>
      <c r="E11" s="6" t="n">
        <f aca="false">D11*(1+Allgemein!$B$19)</f>
        <v>97.104</v>
      </c>
    </row>
    <row r="12" customFormat="false" ht="15" hidden="false" customHeight="false" outlineLevel="0" collapsed="false">
      <c r="A12" s="8" t="s">
        <v>319</v>
      </c>
      <c r="B12" s="9" t="n">
        <v>30</v>
      </c>
      <c r="C12" s="8" t="s">
        <v>40</v>
      </c>
      <c r="E12" s="6" t="n">
        <f aca="false">B12*(1+Allgemein!$B$19)</f>
        <v>35.7</v>
      </c>
    </row>
    <row r="13" customFormat="false" ht="15" hidden="false" customHeight="false" outlineLevel="0" collapsed="false">
      <c r="A13" s="8" t="s">
        <v>320</v>
      </c>
      <c r="B13" s="12" t="n">
        <v>0.6</v>
      </c>
      <c r="C13" s="8" t="s">
        <v>171</v>
      </c>
      <c r="D13" s="6" t="n">
        <f aca="false">B13*Allgemein!$B$17</f>
        <v>40.8</v>
      </c>
      <c r="E13" s="6" t="n">
        <f aca="false">D13*(1+Allgemein!$B$19)</f>
        <v>48.552</v>
      </c>
    </row>
    <row r="15" customFormat="false" ht="15" hidden="false" customHeight="false" outlineLevel="0" collapsed="false">
      <c r="A15" s="3" t="s">
        <v>321</v>
      </c>
    </row>
    <row r="16" customFormat="false" ht="15" hidden="false" customHeight="false" outlineLevel="0" collapsed="false">
      <c r="A16" s="7" t="s">
        <v>32</v>
      </c>
      <c r="B16" s="7" t="s">
        <v>33</v>
      </c>
      <c r="C16" s="7" t="s">
        <v>34</v>
      </c>
      <c r="D16" s="7" t="s">
        <v>35</v>
      </c>
      <c r="E16" s="7" t="s">
        <v>36</v>
      </c>
    </row>
    <row r="17" customFormat="false" ht="15" hidden="false" customHeight="false" outlineLevel="0" collapsed="false">
      <c r="A17" s="8" t="s">
        <v>322</v>
      </c>
      <c r="B17" s="9" t="n">
        <v>1650</v>
      </c>
      <c r="C17" s="8" t="s">
        <v>40</v>
      </c>
      <c r="E17" s="6" t="n">
        <f aca="false">B17*(1+Allgemein!$B$19)</f>
        <v>1963.5</v>
      </c>
    </row>
    <row r="18" customFormat="false" ht="15" hidden="false" customHeight="false" outlineLevel="0" collapsed="false">
      <c r="A18" s="8" t="s">
        <v>323</v>
      </c>
      <c r="B18" s="12" t="n">
        <v>18</v>
      </c>
      <c r="C18" s="8" t="s">
        <v>171</v>
      </c>
      <c r="D18" s="6" t="n">
        <f aca="false">B18*Allgemein!$B$17</f>
        <v>1224</v>
      </c>
      <c r="E18" s="6" t="n">
        <f aca="false">D18*(1+Allgemein!$B$19)</f>
        <v>1456.56</v>
      </c>
    </row>
    <row r="19" customFormat="false" ht="15" hidden="false" customHeight="false" outlineLevel="0" collapsed="false">
      <c r="A19" s="8" t="s">
        <v>324</v>
      </c>
      <c r="B19" s="9" t="n">
        <v>55</v>
      </c>
      <c r="C19" s="8" t="s">
        <v>40</v>
      </c>
      <c r="E19" s="6" t="n">
        <f aca="false">B19*(1+Allgemein!$B$19)</f>
        <v>65.45</v>
      </c>
    </row>
    <row r="20" customFormat="false" ht="15" hidden="false" customHeight="false" outlineLevel="0" collapsed="false">
      <c r="A20" s="8" t="s">
        <v>325</v>
      </c>
      <c r="B20" s="12" t="n">
        <v>1.4</v>
      </c>
      <c r="C20" s="8" t="s">
        <v>171</v>
      </c>
      <c r="D20" s="6" t="n">
        <f aca="false">B20*Allgemein!$B$17</f>
        <v>95.2</v>
      </c>
      <c r="E20" s="6" t="n">
        <f aca="false">D20*(1+Allgemein!$B$19)</f>
        <v>113.288</v>
      </c>
    </row>
    <row r="21" customFormat="false" ht="15" hidden="false" customHeight="false" outlineLevel="0" collapsed="false">
      <c r="A21" s="8" t="s">
        <v>326</v>
      </c>
      <c r="B21" s="9" t="n">
        <v>330</v>
      </c>
      <c r="C21" s="8" t="s">
        <v>40</v>
      </c>
      <c r="E21" s="6" t="n">
        <f aca="false">B21*(1+Allgemein!$B$19)</f>
        <v>392.7</v>
      </c>
    </row>
    <row r="22" customFormat="false" ht="15" hidden="false" customHeight="false" outlineLevel="0" collapsed="false">
      <c r="A22" s="8" t="s">
        <v>327</v>
      </c>
      <c r="B22" s="12" t="n">
        <v>2.5</v>
      </c>
      <c r="C22" s="8" t="s">
        <v>171</v>
      </c>
      <c r="D22" s="6" t="n">
        <f aca="false">B22*Allgemein!$B$17</f>
        <v>170</v>
      </c>
      <c r="E22" s="6" t="n">
        <f aca="false">D22*(1+Allgemein!$B$19)</f>
        <v>202.3</v>
      </c>
    </row>
    <row r="23" customFormat="false" ht="15" hidden="false" customHeight="false" outlineLevel="0" collapsed="false">
      <c r="A23" s="8" t="s">
        <v>328</v>
      </c>
      <c r="B23" s="9" t="n">
        <v>0</v>
      </c>
      <c r="C23" s="8" t="s">
        <v>40</v>
      </c>
      <c r="E23" s="6" t="n">
        <f aca="false">B23*(1+Allgemein!$B$19)</f>
        <v>0</v>
      </c>
    </row>
    <row r="24" customFormat="false" ht="15" hidden="false" customHeight="false" outlineLevel="0" collapsed="false">
      <c r="A24" s="8" t="s">
        <v>329</v>
      </c>
      <c r="B24" s="12" t="n">
        <v>2.75</v>
      </c>
      <c r="C24" s="8" t="s">
        <v>171</v>
      </c>
      <c r="D24" s="6" t="n">
        <f aca="false">B24*Allgemein!$B$17</f>
        <v>187</v>
      </c>
      <c r="E24" s="6" t="n">
        <f aca="false">D24*(1+Allgemein!$B$19)</f>
        <v>222.53</v>
      </c>
    </row>
    <row r="26" customFormat="false" ht="15" hidden="false" customHeight="false" outlineLevel="0" collapsed="false">
      <c r="A26" s="3" t="s">
        <v>330</v>
      </c>
    </row>
    <row r="27" customFormat="false" ht="15" hidden="false" customHeight="false" outlineLevel="0" collapsed="false">
      <c r="A27" s="2" t="s">
        <v>331</v>
      </c>
    </row>
    <row r="28" customFormat="false" ht="15" hidden="false" customHeight="false" outlineLevel="0" collapsed="false">
      <c r="A28" s="7" t="s">
        <v>56</v>
      </c>
      <c r="B28" s="7" t="s">
        <v>57</v>
      </c>
      <c r="C28" s="7" t="s">
        <v>58</v>
      </c>
      <c r="D28" s="7" t="s">
        <v>59</v>
      </c>
      <c r="E28" s="7" t="s">
        <v>61</v>
      </c>
      <c r="F28" s="7" t="s">
        <v>70</v>
      </c>
    </row>
    <row r="29" customFormat="false" ht="15" hidden="false" customHeight="false" outlineLevel="0" collapsed="false">
      <c r="A29" s="5" t="s">
        <v>24</v>
      </c>
      <c r="B29" s="5" t="s">
        <v>223</v>
      </c>
      <c r="C29" s="5" t="s">
        <v>332</v>
      </c>
      <c r="D29" s="12" t="n">
        <v>11</v>
      </c>
      <c r="E29" s="9" t="n">
        <v>890</v>
      </c>
      <c r="F29" s="6" t="n">
        <f aca="false">IF(E29="","",E29*(1+Allgemein!$B$19))</f>
        <v>1059.1</v>
      </c>
    </row>
    <row r="30" customFormat="false" ht="15" hidden="false" customHeight="false" outlineLevel="0" collapsed="false">
      <c r="A30" s="5" t="s">
        <v>24</v>
      </c>
      <c r="B30" s="5" t="s">
        <v>333</v>
      </c>
      <c r="C30" s="5" t="s">
        <v>334</v>
      </c>
      <c r="D30" s="12" t="n">
        <v>11</v>
      </c>
      <c r="E30" s="9" t="n">
        <v>720</v>
      </c>
      <c r="F30" s="6" t="n">
        <f aca="false">IF(E30="","",E30*(1+Allgemein!$B$19))</f>
        <v>856.8</v>
      </c>
    </row>
    <row r="31" customFormat="false" ht="15" hidden="false" customHeight="false" outlineLevel="0" collapsed="false">
      <c r="A31" s="5" t="s">
        <v>24</v>
      </c>
      <c r="B31" s="5" t="s">
        <v>335</v>
      </c>
      <c r="C31" s="5" t="s">
        <v>336</v>
      </c>
      <c r="D31" s="12" t="n">
        <v>11</v>
      </c>
      <c r="E31" s="9" t="n">
        <v>990</v>
      </c>
      <c r="F31" s="6" t="n">
        <f aca="false">IF(E31="","",E31*(1+Allgemein!$B$19))</f>
        <v>1178.1</v>
      </c>
    </row>
    <row r="32" customFormat="false" ht="15" hidden="false" customHeight="false" outlineLevel="0" collapsed="false">
      <c r="A32" s="5" t="s">
        <v>24</v>
      </c>
      <c r="B32" s="5" t="s">
        <v>337</v>
      </c>
      <c r="C32" s="5" t="s">
        <v>338</v>
      </c>
      <c r="D32" s="12" t="n">
        <v>11</v>
      </c>
      <c r="E32" s="9" t="n">
        <v>650</v>
      </c>
      <c r="F32" s="6" t="n">
        <f aca="false">IF(E32="","",E32*(1+Allgemein!$B$19))</f>
        <v>773.5</v>
      </c>
    </row>
    <row r="33" customFormat="false" ht="15" hidden="false" customHeight="false" outlineLevel="0" collapsed="false">
      <c r="A33" s="5"/>
      <c r="B33" s="5"/>
      <c r="C33" s="5"/>
      <c r="D33" s="12"/>
      <c r="E33" s="9"/>
      <c r="F33" s="6" t="str">
        <f aca="false">IF(E33="","",E33*(1+Allgemein!$B$19))</f>
        <v/>
      </c>
    </row>
    <row r="34" customFormat="false" ht="15" hidden="false" customHeight="false" outlineLevel="0" collapsed="false">
      <c r="A34" s="5"/>
      <c r="B34" s="5"/>
      <c r="C34" s="5"/>
      <c r="D34" s="12"/>
      <c r="E34" s="9"/>
      <c r="F34" s="6" t="str">
        <f aca="false">IF(E34="","",E34*(1+Allgemein!$B$19))</f>
        <v/>
      </c>
    </row>
    <row r="35" customFormat="false" ht="15" hidden="false" customHeight="false" outlineLevel="0" collapsed="false">
      <c r="A35" s="5"/>
      <c r="B35" s="5"/>
      <c r="C35" s="5"/>
      <c r="D35" s="12"/>
      <c r="E35" s="9"/>
      <c r="F35" s="6" t="str">
        <f aca="false">IF(E35="","",E35*(1+Allgemein!$B$19))</f>
        <v/>
      </c>
    </row>
    <row r="36" customFormat="false" ht="15" hidden="false" customHeight="false" outlineLevel="0" collapsed="false">
      <c r="A36" s="5"/>
      <c r="B36" s="5"/>
      <c r="C36" s="5"/>
      <c r="D36" s="12"/>
      <c r="E36" s="9"/>
      <c r="F36" s="6" t="str">
        <f aca="false">IF(E36="","",E36*(1+Allgemein!$B$19))</f>
        <v/>
      </c>
    </row>
    <row r="37" customFormat="false" ht="15" hidden="false" customHeight="false" outlineLevel="0" collapsed="false">
      <c r="A37" s="5"/>
      <c r="B37" s="5"/>
      <c r="C37" s="5"/>
      <c r="D37" s="12"/>
      <c r="E37" s="9"/>
      <c r="F37" s="6" t="str">
        <f aca="false">IF(E37="","",E37*(1+Allgemein!$B$19))</f>
        <v/>
      </c>
    </row>
    <row r="38" customFormat="false" ht="15" hidden="false" customHeight="false" outlineLevel="0" collapsed="false">
      <c r="A38" s="2" t="s">
        <v>122</v>
      </c>
    </row>
    <row r="40" customFormat="false" ht="15" hidden="false" customHeight="false" outlineLevel="0" collapsed="false">
      <c r="A40" s="3" t="s">
        <v>339</v>
      </c>
    </row>
    <row r="41" customFormat="false" ht="15" hidden="false" customHeight="false" outlineLevel="0" collapsed="false">
      <c r="A41" s="7" t="s">
        <v>32</v>
      </c>
      <c r="B41" s="7" t="s">
        <v>33</v>
      </c>
      <c r="C41" s="7" t="s">
        <v>34</v>
      </c>
      <c r="D41" s="7" t="s">
        <v>35</v>
      </c>
      <c r="E41" s="7" t="s">
        <v>36</v>
      </c>
    </row>
    <row r="42" customFormat="false" ht="15" hidden="false" customHeight="false" outlineLevel="0" collapsed="false">
      <c r="A42" s="8" t="s">
        <v>340</v>
      </c>
      <c r="B42" s="12" t="n">
        <v>7</v>
      </c>
      <c r="C42" s="8" t="s">
        <v>171</v>
      </c>
      <c r="D42" s="6" t="n">
        <f aca="false">B42*Allgemein!$B$17</f>
        <v>476</v>
      </c>
      <c r="E42" s="6" t="n">
        <f aca="false">D42*(1+Allgemein!$B$19)</f>
        <v>566.44</v>
      </c>
    </row>
  </sheetData>
  <dataValidations count="2">
    <dataValidation allowBlank="true" errorStyle="stop" operator="between" showDropDown="false" showErrorMessage="true" showInputMessage="false" sqref="B4" type="list">
      <formula1>"Ja,Nein"</formula1>
      <formula2>0</formula2>
    </dataValidation>
    <dataValidation allowBlank="true" errorStyle="stop" operator="between" showDropDown="false" showErrorMessage="true" showInputMessage="false" sqref="A29:A37" type="list">
      <formula1>"Ja,Nein"</formula1>
      <formula2>0</formula2>
    </dataValidation>
  </dataValidations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4" t="s">
        <v>341</v>
      </c>
      <c r="B1" s="14" t="s">
        <v>17</v>
      </c>
      <c r="C1" s="14" t="s">
        <v>342</v>
      </c>
      <c r="D1" s="14" t="s">
        <v>343</v>
      </c>
    </row>
    <row r="2" customFormat="false" ht="15" hidden="false" customHeight="false" outlineLevel="0" collapsed="false">
      <c r="A2" s="14" t="s">
        <v>341</v>
      </c>
      <c r="B2" s="14" t="s">
        <v>17</v>
      </c>
      <c r="C2" s="14" t="s">
        <v>344</v>
      </c>
      <c r="D2" s="14" t="s">
        <v>345</v>
      </c>
    </row>
    <row r="3" customFormat="false" ht="15" hidden="false" customHeight="false" outlineLevel="0" collapsed="false">
      <c r="A3" s="14" t="s">
        <v>341</v>
      </c>
      <c r="B3" s="14" t="s">
        <v>17</v>
      </c>
      <c r="C3" s="14" t="s">
        <v>346</v>
      </c>
      <c r="D3" s="14" t="s">
        <v>347</v>
      </c>
    </row>
    <row r="4" customFormat="false" ht="15" hidden="false" customHeight="false" outlineLevel="0" collapsed="false">
      <c r="A4" s="14" t="s">
        <v>341</v>
      </c>
      <c r="B4" s="14" t="s">
        <v>17</v>
      </c>
      <c r="C4" s="14" t="s">
        <v>348</v>
      </c>
      <c r="D4" s="14" t="s">
        <v>349</v>
      </c>
    </row>
    <row r="5" customFormat="false" ht="15" hidden="false" customHeight="false" outlineLevel="0" collapsed="false">
      <c r="A5" s="14" t="s">
        <v>341</v>
      </c>
      <c r="B5" s="14" t="s">
        <v>17</v>
      </c>
      <c r="C5" s="14" t="s">
        <v>350</v>
      </c>
      <c r="D5" s="14" t="s">
        <v>351</v>
      </c>
    </row>
    <row r="6" customFormat="false" ht="15" hidden="false" customHeight="false" outlineLevel="0" collapsed="false">
      <c r="A6" s="14" t="s">
        <v>341</v>
      </c>
      <c r="B6" s="14" t="s">
        <v>17</v>
      </c>
      <c r="C6" s="14" t="s">
        <v>352</v>
      </c>
      <c r="D6" s="14" t="s">
        <v>353</v>
      </c>
    </row>
    <row r="7" customFormat="false" ht="15" hidden="false" customHeight="false" outlineLevel="0" collapsed="false">
      <c r="A7" s="14" t="s">
        <v>341</v>
      </c>
      <c r="B7" s="14" t="s">
        <v>17</v>
      </c>
      <c r="C7" s="14" t="s">
        <v>354</v>
      </c>
      <c r="D7" s="14" t="s">
        <v>355</v>
      </c>
    </row>
    <row r="8" customFormat="false" ht="15" hidden="false" customHeight="false" outlineLevel="0" collapsed="false">
      <c r="A8" s="14" t="s">
        <v>356</v>
      </c>
      <c r="B8" s="14" t="s">
        <v>17</v>
      </c>
      <c r="C8" s="14" t="s">
        <v>357</v>
      </c>
      <c r="D8" s="14" t="s">
        <v>358</v>
      </c>
      <c r="E8" s="14" t="s">
        <v>359</v>
      </c>
    </row>
    <row r="9" customFormat="false" ht="15" hidden="false" customHeight="false" outlineLevel="0" collapsed="false">
      <c r="A9" s="14" t="s">
        <v>356</v>
      </c>
      <c r="B9" s="14" t="s">
        <v>17</v>
      </c>
      <c r="C9" s="14" t="s">
        <v>360</v>
      </c>
      <c r="D9" s="14" t="s">
        <v>361</v>
      </c>
      <c r="E9" s="14" t="s">
        <v>359</v>
      </c>
    </row>
    <row r="10" customFormat="false" ht="15" hidden="false" customHeight="false" outlineLevel="0" collapsed="false">
      <c r="A10" s="14" t="s">
        <v>356</v>
      </c>
      <c r="B10" s="14" t="s">
        <v>17</v>
      </c>
      <c r="C10" s="14" t="s">
        <v>362</v>
      </c>
      <c r="D10" s="14" t="s">
        <v>363</v>
      </c>
      <c r="E10" s="14" t="s">
        <v>364</v>
      </c>
    </row>
    <row r="11" customFormat="false" ht="15" hidden="false" customHeight="false" outlineLevel="0" collapsed="false">
      <c r="A11" s="14" t="s">
        <v>356</v>
      </c>
      <c r="B11" s="14" t="s">
        <v>17</v>
      </c>
      <c r="C11" s="14" t="s">
        <v>365</v>
      </c>
      <c r="D11" s="14" t="s">
        <v>366</v>
      </c>
      <c r="E11" s="14" t="s">
        <v>364</v>
      </c>
    </row>
    <row r="12" customFormat="false" ht="15" hidden="false" customHeight="false" outlineLevel="0" collapsed="false">
      <c r="A12" s="14" t="s">
        <v>356</v>
      </c>
      <c r="B12" s="14" t="s">
        <v>17</v>
      </c>
      <c r="C12" s="14" t="s">
        <v>367</v>
      </c>
      <c r="D12" s="14" t="s">
        <v>368</v>
      </c>
      <c r="E12" s="14" t="s">
        <v>359</v>
      </c>
    </row>
    <row r="13" customFormat="false" ht="15" hidden="false" customHeight="false" outlineLevel="0" collapsed="false">
      <c r="A13" s="14" t="s">
        <v>356</v>
      </c>
      <c r="B13" s="14" t="s">
        <v>17</v>
      </c>
      <c r="C13" s="14" t="s">
        <v>369</v>
      </c>
      <c r="D13" s="14" t="s">
        <v>370</v>
      </c>
      <c r="E13" s="14" t="s">
        <v>364</v>
      </c>
    </row>
    <row r="14" customFormat="false" ht="15" hidden="false" customHeight="false" outlineLevel="0" collapsed="false">
      <c r="A14" s="14" t="s">
        <v>356</v>
      </c>
      <c r="B14" s="14" t="s">
        <v>17</v>
      </c>
      <c r="C14" s="14" t="s">
        <v>371</v>
      </c>
      <c r="D14" s="14" t="s">
        <v>372</v>
      </c>
      <c r="E14" s="14" t="s">
        <v>364</v>
      </c>
    </row>
    <row r="15" customFormat="false" ht="15" hidden="false" customHeight="false" outlineLevel="0" collapsed="false">
      <c r="A15" s="14" t="s">
        <v>356</v>
      </c>
      <c r="B15" s="14" t="s">
        <v>17</v>
      </c>
      <c r="C15" s="14" t="s">
        <v>373</v>
      </c>
      <c r="D15" s="14" t="s">
        <v>374</v>
      </c>
      <c r="E15" s="14" t="s">
        <v>364</v>
      </c>
    </row>
    <row r="16" customFormat="false" ht="15" hidden="false" customHeight="false" outlineLevel="0" collapsed="false">
      <c r="A16" s="14" t="s">
        <v>356</v>
      </c>
      <c r="B16" s="14" t="s">
        <v>17</v>
      </c>
      <c r="C16" s="14" t="s">
        <v>375</v>
      </c>
      <c r="D16" s="14" t="s">
        <v>376</v>
      </c>
      <c r="E16" s="14" t="s">
        <v>364</v>
      </c>
    </row>
    <row r="17" customFormat="false" ht="15" hidden="false" customHeight="false" outlineLevel="0" collapsed="false">
      <c r="A17" s="14" t="s">
        <v>356</v>
      </c>
      <c r="B17" s="14" t="s">
        <v>17</v>
      </c>
      <c r="C17" s="14" t="s">
        <v>377</v>
      </c>
      <c r="D17" s="14" t="s">
        <v>378</v>
      </c>
      <c r="E17" s="14" t="s">
        <v>359</v>
      </c>
    </row>
    <row r="18" customFormat="false" ht="15" hidden="false" customHeight="false" outlineLevel="0" collapsed="false">
      <c r="A18" s="14" t="s">
        <v>341</v>
      </c>
      <c r="B18" s="14" t="s">
        <v>26</v>
      </c>
      <c r="C18" s="14" t="s">
        <v>379</v>
      </c>
      <c r="D18" s="14" t="s">
        <v>347</v>
      </c>
    </row>
    <row r="19" customFormat="false" ht="15" hidden="false" customHeight="false" outlineLevel="0" collapsed="false">
      <c r="A19" s="14" t="s">
        <v>380</v>
      </c>
      <c r="B19" s="14" t="s">
        <v>26</v>
      </c>
      <c r="C19" s="14" t="s">
        <v>381</v>
      </c>
      <c r="D19" s="14" t="s">
        <v>382</v>
      </c>
      <c r="E19" s="14" t="s">
        <v>383</v>
      </c>
    </row>
    <row r="20" customFormat="false" ht="15" hidden="false" customHeight="false" outlineLevel="0" collapsed="false">
      <c r="A20" s="14" t="s">
        <v>380</v>
      </c>
      <c r="B20" s="14" t="s">
        <v>26</v>
      </c>
      <c r="C20" s="14" t="s">
        <v>384</v>
      </c>
      <c r="D20" s="14" t="s">
        <v>385</v>
      </c>
      <c r="E20" s="14" t="s">
        <v>386</v>
      </c>
    </row>
    <row r="21" customFormat="false" ht="15" hidden="false" customHeight="false" outlineLevel="0" collapsed="false">
      <c r="A21" s="14" t="s">
        <v>380</v>
      </c>
      <c r="B21" s="14" t="s">
        <v>26</v>
      </c>
      <c r="C21" s="14" t="s">
        <v>387</v>
      </c>
      <c r="D21" s="14" t="s">
        <v>388</v>
      </c>
      <c r="E21" s="14" t="s">
        <v>389</v>
      </c>
    </row>
    <row r="22" customFormat="false" ht="15" hidden="false" customHeight="false" outlineLevel="0" collapsed="false">
      <c r="A22" s="14" t="s">
        <v>356</v>
      </c>
      <c r="B22" s="14" t="s">
        <v>26</v>
      </c>
      <c r="C22" s="14" t="s">
        <v>390</v>
      </c>
      <c r="D22" s="14" t="s">
        <v>391</v>
      </c>
      <c r="E22" s="14" t="s">
        <v>359</v>
      </c>
    </row>
    <row r="23" customFormat="false" ht="15" hidden="false" customHeight="false" outlineLevel="0" collapsed="false">
      <c r="A23" s="14" t="s">
        <v>356</v>
      </c>
      <c r="B23" s="14" t="s">
        <v>26</v>
      </c>
      <c r="C23" s="14" t="s">
        <v>392</v>
      </c>
      <c r="D23" s="14" t="s">
        <v>393</v>
      </c>
      <c r="E23" s="14" t="s">
        <v>359</v>
      </c>
    </row>
    <row r="24" customFormat="false" ht="15" hidden="false" customHeight="false" outlineLevel="0" collapsed="false">
      <c r="A24" s="14" t="s">
        <v>356</v>
      </c>
      <c r="B24" s="14" t="s">
        <v>26</v>
      </c>
      <c r="C24" s="14" t="s">
        <v>394</v>
      </c>
      <c r="D24" s="14" t="s">
        <v>395</v>
      </c>
      <c r="E24" s="14" t="s">
        <v>359</v>
      </c>
    </row>
    <row r="25" customFormat="false" ht="15" hidden="false" customHeight="false" outlineLevel="0" collapsed="false">
      <c r="A25" s="14" t="s">
        <v>356</v>
      </c>
      <c r="B25" s="14" t="s">
        <v>26</v>
      </c>
      <c r="C25" s="14" t="s">
        <v>396</v>
      </c>
      <c r="D25" s="14" t="s">
        <v>397</v>
      </c>
      <c r="E25" s="14" t="s">
        <v>359</v>
      </c>
    </row>
    <row r="26" customFormat="false" ht="15" hidden="false" customHeight="false" outlineLevel="0" collapsed="false">
      <c r="A26" s="14" t="s">
        <v>356</v>
      </c>
      <c r="B26" s="14" t="s">
        <v>26</v>
      </c>
      <c r="C26" s="14" t="s">
        <v>398</v>
      </c>
      <c r="D26" s="14" t="s">
        <v>399</v>
      </c>
      <c r="E26" s="14" t="s">
        <v>359</v>
      </c>
    </row>
    <row r="27" customFormat="false" ht="15" hidden="false" customHeight="false" outlineLevel="0" collapsed="false">
      <c r="A27" s="14" t="s">
        <v>356</v>
      </c>
      <c r="B27" s="14" t="s">
        <v>26</v>
      </c>
      <c r="C27" s="14" t="s">
        <v>400</v>
      </c>
      <c r="D27" s="14" t="s">
        <v>401</v>
      </c>
      <c r="E27" s="14" t="s">
        <v>359</v>
      </c>
    </row>
    <row r="28" customFormat="false" ht="15" hidden="false" customHeight="false" outlineLevel="0" collapsed="false">
      <c r="A28" s="14" t="s">
        <v>356</v>
      </c>
      <c r="B28" s="14" t="s">
        <v>26</v>
      </c>
      <c r="C28" s="14" t="s">
        <v>402</v>
      </c>
      <c r="D28" s="14" t="s">
        <v>403</v>
      </c>
      <c r="E28" s="14" t="s">
        <v>359</v>
      </c>
    </row>
    <row r="29" customFormat="false" ht="15" hidden="false" customHeight="false" outlineLevel="0" collapsed="false">
      <c r="A29" s="14" t="s">
        <v>356</v>
      </c>
      <c r="B29" s="14" t="s">
        <v>26</v>
      </c>
      <c r="C29" s="14" t="s">
        <v>404</v>
      </c>
      <c r="D29" s="14" t="s">
        <v>405</v>
      </c>
      <c r="E29" s="14" t="s">
        <v>359</v>
      </c>
    </row>
    <row r="30" customFormat="false" ht="15" hidden="false" customHeight="false" outlineLevel="0" collapsed="false">
      <c r="A30" s="14" t="s">
        <v>356</v>
      </c>
      <c r="B30" s="14" t="s">
        <v>26</v>
      </c>
      <c r="C30" s="14" t="s">
        <v>406</v>
      </c>
      <c r="D30" s="14" t="s">
        <v>407</v>
      </c>
      <c r="E30" s="14" t="s">
        <v>359</v>
      </c>
    </row>
    <row r="31" customFormat="false" ht="15" hidden="false" customHeight="false" outlineLevel="0" collapsed="false">
      <c r="A31" s="14" t="s">
        <v>356</v>
      </c>
      <c r="B31" s="14" t="s">
        <v>26</v>
      </c>
      <c r="C31" s="14" t="s">
        <v>408</v>
      </c>
      <c r="D31" s="14" t="s">
        <v>409</v>
      </c>
      <c r="E31" s="14" t="s">
        <v>359</v>
      </c>
    </row>
    <row r="32" customFormat="false" ht="15" hidden="false" customHeight="false" outlineLevel="0" collapsed="false">
      <c r="A32" s="14" t="s">
        <v>356</v>
      </c>
      <c r="B32" s="14" t="s">
        <v>26</v>
      </c>
      <c r="C32" s="14" t="s">
        <v>410</v>
      </c>
      <c r="D32" s="14" t="s">
        <v>411</v>
      </c>
      <c r="E32" s="14" t="s">
        <v>359</v>
      </c>
    </row>
    <row r="33" customFormat="false" ht="15" hidden="false" customHeight="false" outlineLevel="0" collapsed="false">
      <c r="A33" s="14" t="s">
        <v>356</v>
      </c>
      <c r="B33" s="14" t="s">
        <v>26</v>
      </c>
      <c r="C33" s="14" t="s">
        <v>412</v>
      </c>
      <c r="D33" s="14" t="s">
        <v>413</v>
      </c>
      <c r="E33" s="14" t="s">
        <v>359</v>
      </c>
    </row>
    <row r="34" customFormat="false" ht="15" hidden="false" customHeight="false" outlineLevel="0" collapsed="false">
      <c r="A34" s="14" t="s">
        <v>356</v>
      </c>
      <c r="B34" s="14" t="s">
        <v>26</v>
      </c>
      <c r="C34" s="14" t="s">
        <v>414</v>
      </c>
      <c r="D34" s="14" t="s">
        <v>415</v>
      </c>
      <c r="E34" s="14" t="s">
        <v>359</v>
      </c>
    </row>
    <row r="35" customFormat="false" ht="15" hidden="false" customHeight="false" outlineLevel="0" collapsed="false">
      <c r="A35" s="14" t="s">
        <v>356</v>
      </c>
      <c r="B35" s="14" t="s">
        <v>26</v>
      </c>
      <c r="C35" s="14" t="s">
        <v>416</v>
      </c>
      <c r="D35" s="14" t="s">
        <v>417</v>
      </c>
      <c r="E35" s="14" t="s">
        <v>359</v>
      </c>
    </row>
    <row r="36" customFormat="false" ht="15" hidden="false" customHeight="false" outlineLevel="0" collapsed="false">
      <c r="A36" s="14" t="s">
        <v>356</v>
      </c>
      <c r="B36" s="14" t="s">
        <v>26</v>
      </c>
      <c r="C36" s="14" t="s">
        <v>418</v>
      </c>
      <c r="D36" s="14" t="s">
        <v>419</v>
      </c>
      <c r="E36" s="14" t="s">
        <v>359</v>
      </c>
    </row>
    <row r="37" customFormat="false" ht="15" hidden="false" customHeight="false" outlineLevel="0" collapsed="false">
      <c r="A37" s="14" t="s">
        <v>356</v>
      </c>
      <c r="B37" s="14" t="s">
        <v>26</v>
      </c>
      <c r="C37" s="14" t="s">
        <v>420</v>
      </c>
      <c r="D37" s="14" t="s">
        <v>421</v>
      </c>
      <c r="E37" s="14" t="s">
        <v>359</v>
      </c>
    </row>
    <row r="38" customFormat="false" ht="15" hidden="false" customHeight="false" outlineLevel="0" collapsed="false">
      <c r="A38" s="14" t="s">
        <v>356</v>
      </c>
      <c r="B38" s="14" t="s">
        <v>26</v>
      </c>
      <c r="C38" s="14" t="s">
        <v>422</v>
      </c>
      <c r="D38" s="14" t="s">
        <v>423</v>
      </c>
      <c r="E38" s="14" t="s">
        <v>359</v>
      </c>
    </row>
    <row r="39" customFormat="false" ht="15" hidden="false" customHeight="false" outlineLevel="0" collapsed="false">
      <c r="A39" s="14" t="s">
        <v>356</v>
      </c>
      <c r="B39" s="14" t="s">
        <v>26</v>
      </c>
      <c r="C39" s="14" t="s">
        <v>424</v>
      </c>
      <c r="D39" s="14" t="s">
        <v>425</v>
      </c>
      <c r="E39" s="14" t="s">
        <v>359</v>
      </c>
    </row>
    <row r="40" customFormat="false" ht="15" hidden="false" customHeight="false" outlineLevel="0" collapsed="false">
      <c r="A40" s="14" t="s">
        <v>341</v>
      </c>
      <c r="B40" s="14" t="s">
        <v>23</v>
      </c>
      <c r="C40" s="14" t="s">
        <v>379</v>
      </c>
      <c r="D40" s="14" t="s">
        <v>343</v>
      </c>
    </row>
    <row r="41" customFormat="false" ht="15" hidden="false" customHeight="false" outlineLevel="0" collapsed="false">
      <c r="A41" s="14" t="s">
        <v>380</v>
      </c>
      <c r="B41" s="14" t="s">
        <v>23</v>
      </c>
      <c r="C41" s="14" t="s">
        <v>426</v>
      </c>
      <c r="D41" s="14" t="s">
        <v>427</v>
      </c>
      <c r="E41" s="14" t="s">
        <v>428</v>
      </c>
    </row>
    <row r="42" customFormat="false" ht="15" hidden="false" customHeight="false" outlineLevel="0" collapsed="false">
      <c r="A42" s="14" t="s">
        <v>356</v>
      </c>
      <c r="B42" s="14" t="s">
        <v>23</v>
      </c>
      <c r="C42" s="14" t="s">
        <v>429</v>
      </c>
      <c r="D42" s="14" t="s">
        <v>430</v>
      </c>
      <c r="E42" s="14" t="s">
        <v>359</v>
      </c>
    </row>
    <row r="43" customFormat="false" ht="15" hidden="false" customHeight="false" outlineLevel="0" collapsed="false">
      <c r="A43" s="14" t="s">
        <v>356</v>
      </c>
      <c r="B43" s="14" t="s">
        <v>23</v>
      </c>
      <c r="C43" s="14" t="s">
        <v>431</v>
      </c>
      <c r="D43" s="14" t="s">
        <v>432</v>
      </c>
      <c r="E43" s="14" t="s">
        <v>359</v>
      </c>
    </row>
    <row r="44" customFormat="false" ht="15" hidden="false" customHeight="false" outlineLevel="0" collapsed="false">
      <c r="A44" s="14" t="s">
        <v>356</v>
      </c>
      <c r="B44" s="14" t="s">
        <v>23</v>
      </c>
      <c r="C44" s="14" t="s">
        <v>433</v>
      </c>
      <c r="D44" s="14" t="s">
        <v>434</v>
      </c>
      <c r="E44" s="14" t="s">
        <v>359</v>
      </c>
    </row>
    <row r="45" customFormat="false" ht="15" hidden="false" customHeight="false" outlineLevel="0" collapsed="false">
      <c r="A45" s="14" t="s">
        <v>356</v>
      </c>
      <c r="B45" s="14" t="s">
        <v>23</v>
      </c>
      <c r="C45" s="14" t="s">
        <v>369</v>
      </c>
      <c r="D45" s="14" t="s">
        <v>435</v>
      </c>
      <c r="E45" s="14" t="s">
        <v>359</v>
      </c>
    </row>
    <row r="46" customFormat="false" ht="15" hidden="false" customHeight="false" outlineLevel="0" collapsed="false">
      <c r="A46" s="14" t="s">
        <v>356</v>
      </c>
      <c r="B46" s="14" t="s">
        <v>23</v>
      </c>
      <c r="C46" s="14" t="s">
        <v>371</v>
      </c>
      <c r="D46" s="14" t="s">
        <v>436</v>
      </c>
      <c r="E46" s="14" t="s">
        <v>359</v>
      </c>
    </row>
    <row r="47" customFormat="false" ht="15" hidden="false" customHeight="false" outlineLevel="0" collapsed="false">
      <c r="A47" s="14" t="s">
        <v>356</v>
      </c>
      <c r="B47" s="14" t="s">
        <v>23</v>
      </c>
      <c r="C47" s="14" t="s">
        <v>373</v>
      </c>
      <c r="D47" s="14" t="s">
        <v>437</v>
      </c>
      <c r="E47" s="14" t="s">
        <v>359</v>
      </c>
    </row>
    <row r="48" customFormat="false" ht="15" hidden="false" customHeight="false" outlineLevel="0" collapsed="false">
      <c r="A48" s="14" t="s">
        <v>356</v>
      </c>
      <c r="B48" s="14" t="s">
        <v>23</v>
      </c>
      <c r="C48" s="14" t="s">
        <v>438</v>
      </c>
      <c r="D48" s="14" t="s">
        <v>439</v>
      </c>
      <c r="E48" s="14" t="s">
        <v>359</v>
      </c>
    </row>
    <row r="49" customFormat="false" ht="15" hidden="false" customHeight="false" outlineLevel="0" collapsed="false">
      <c r="A49" s="14" t="s">
        <v>356</v>
      </c>
      <c r="B49" s="14" t="s">
        <v>23</v>
      </c>
      <c r="C49" s="14" t="s">
        <v>440</v>
      </c>
      <c r="D49" s="14" t="s">
        <v>441</v>
      </c>
      <c r="E49" s="14" t="s">
        <v>359</v>
      </c>
    </row>
    <row r="50" customFormat="false" ht="15" hidden="false" customHeight="false" outlineLevel="0" collapsed="false">
      <c r="A50" s="14" t="s">
        <v>356</v>
      </c>
      <c r="B50" s="14" t="s">
        <v>23</v>
      </c>
      <c r="C50" s="14" t="s">
        <v>442</v>
      </c>
      <c r="D50" s="14" t="s">
        <v>443</v>
      </c>
      <c r="E50" s="14" t="s">
        <v>359</v>
      </c>
    </row>
    <row r="51" customFormat="false" ht="15" hidden="false" customHeight="false" outlineLevel="0" collapsed="false">
      <c r="A51" s="14" t="s">
        <v>356</v>
      </c>
      <c r="B51" s="14" t="s">
        <v>23</v>
      </c>
      <c r="C51" s="14" t="s">
        <v>444</v>
      </c>
      <c r="D51" s="14" t="s">
        <v>445</v>
      </c>
      <c r="E51" s="14" t="s">
        <v>359</v>
      </c>
    </row>
    <row r="52" customFormat="false" ht="15" hidden="false" customHeight="false" outlineLevel="0" collapsed="false">
      <c r="A52" s="14" t="s">
        <v>356</v>
      </c>
      <c r="B52" s="14" t="s">
        <v>23</v>
      </c>
      <c r="C52" s="14" t="s">
        <v>446</v>
      </c>
      <c r="D52" s="14" t="s">
        <v>447</v>
      </c>
      <c r="E52" s="14" t="s">
        <v>359</v>
      </c>
    </row>
    <row r="53" customFormat="false" ht="15" hidden="false" customHeight="false" outlineLevel="0" collapsed="false">
      <c r="A53" s="14" t="s">
        <v>356</v>
      </c>
      <c r="B53" s="14" t="s">
        <v>23</v>
      </c>
      <c r="C53" s="14" t="s">
        <v>448</v>
      </c>
      <c r="D53" s="14" t="s">
        <v>449</v>
      </c>
      <c r="E53" s="14" t="s">
        <v>359</v>
      </c>
    </row>
    <row r="54" customFormat="false" ht="15" hidden="false" customHeight="false" outlineLevel="0" collapsed="false">
      <c r="A54" s="14" t="s">
        <v>356</v>
      </c>
      <c r="B54" s="14" t="s">
        <v>23</v>
      </c>
      <c r="C54" s="14" t="s">
        <v>450</v>
      </c>
      <c r="D54" s="14" t="s">
        <v>451</v>
      </c>
      <c r="E54" s="14" t="s">
        <v>359</v>
      </c>
    </row>
    <row r="55" customFormat="false" ht="15" hidden="false" customHeight="false" outlineLevel="0" collapsed="false">
      <c r="A55" s="14" t="s">
        <v>341</v>
      </c>
      <c r="B55" s="14" t="s">
        <v>25</v>
      </c>
      <c r="C55" s="14" t="s">
        <v>379</v>
      </c>
      <c r="D55" s="14" t="s">
        <v>345</v>
      </c>
    </row>
    <row r="56" customFormat="false" ht="15" hidden="false" customHeight="false" outlineLevel="0" collapsed="false">
      <c r="A56" s="14" t="s">
        <v>380</v>
      </c>
      <c r="B56" s="14" t="s">
        <v>25</v>
      </c>
      <c r="C56" s="14" t="s">
        <v>452</v>
      </c>
      <c r="D56" s="14" t="s">
        <v>453</v>
      </c>
      <c r="E56" s="14" t="s">
        <v>454</v>
      </c>
    </row>
    <row r="57" customFormat="false" ht="15" hidden="false" customHeight="false" outlineLevel="0" collapsed="false">
      <c r="A57" s="14" t="s">
        <v>380</v>
      </c>
      <c r="B57" s="14" t="s">
        <v>25</v>
      </c>
      <c r="C57" s="14" t="s">
        <v>455</v>
      </c>
      <c r="D57" s="14" t="s">
        <v>456</v>
      </c>
      <c r="E57" s="14" t="s">
        <v>457</v>
      </c>
    </row>
    <row r="58" customFormat="false" ht="15" hidden="false" customHeight="false" outlineLevel="0" collapsed="false">
      <c r="A58" s="14" t="s">
        <v>380</v>
      </c>
      <c r="B58" s="14" t="s">
        <v>25</v>
      </c>
      <c r="C58" s="14" t="s">
        <v>458</v>
      </c>
      <c r="D58" s="14" t="s">
        <v>459</v>
      </c>
      <c r="E58" s="14" t="s">
        <v>460</v>
      </c>
    </row>
    <row r="59" customFormat="false" ht="15" hidden="false" customHeight="false" outlineLevel="0" collapsed="false">
      <c r="A59" s="14" t="s">
        <v>356</v>
      </c>
      <c r="B59" s="14" t="s">
        <v>25</v>
      </c>
      <c r="C59" s="14" t="s">
        <v>461</v>
      </c>
      <c r="D59" s="14" t="s">
        <v>462</v>
      </c>
      <c r="E59" s="14" t="s">
        <v>359</v>
      </c>
    </row>
    <row r="60" customFormat="false" ht="15" hidden="false" customHeight="false" outlineLevel="0" collapsed="false">
      <c r="A60" s="14" t="s">
        <v>356</v>
      </c>
      <c r="B60" s="14" t="s">
        <v>25</v>
      </c>
      <c r="C60" s="14" t="s">
        <v>463</v>
      </c>
      <c r="D60" s="14" t="s">
        <v>464</v>
      </c>
      <c r="E60" s="14" t="s">
        <v>359</v>
      </c>
    </row>
    <row r="61" customFormat="false" ht="15" hidden="false" customHeight="false" outlineLevel="0" collapsed="false">
      <c r="A61" s="14" t="s">
        <v>356</v>
      </c>
      <c r="B61" s="14" t="s">
        <v>25</v>
      </c>
      <c r="C61" s="14" t="s">
        <v>465</v>
      </c>
      <c r="D61" s="14" t="s">
        <v>466</v>
      </c>
      <c r="E61" s="14" t="s">
        <v>359</v>
      </c>
    </row>
    <row r="62" customFormat="false" ht="15" hidden="false" customHeight="false" outlineLevel="0" collapsed="false">
      <c r="A62" s="14" t="s">
        <v>356</v>
      </c>
      <c r="B62" s="14" t="s">
        <v>25</v>
      </c>
      <c r="C62" s="14" t="s">
        <v>467</v>
      </c>
      <c r="D62" s="14" t="s">
        <v>468</v>
      </c>
      <c r="E62" s="14" t="s">
        <v>359</v>
      </c>
    </row>
    <row r="63" customFormat="false" ht="15" hidden="false" customHeight="false" outlineLevel="0" collapsed="false">
      <c r="A63" s="14" t="s">
        <v>356</v>
      </c>
      <c r="B63" s="14" t="s">
        <v>25</v>
      </c>
      <c r="C63" s="14" t="s">
        <v>469</v>
      </c>
      <c r="D63" s="14" t="s">
        <v>470</v>
      </c>
      <c r="E63" s="14" t="s">
        <v>359</v>
      </c>
    </row>
    <row r="64" customFormat="false" ht="15" hidden="false" customHeight="false" outlineLevel="0" collapsed="false">
      <c r="A64" s="14" t="s">
        <v>356</v>
      </c>
      <c r="B64" s="14" t="s">
        <v>25</v>
      </c>
      <c r="C64" s="14" t="s">
        <v>471</v>
      </c>
      <c r="D64" s="14" t="s">
        <v>472</v>
      </c>
      <c r="E64" s="14" t="s">
        <v>359</v>
      </c>
    </row>
    <row r="65" customFormat="false" ht="15" hidden="false" customHeight="false" outlineLevel="0" collapsed="false">
      <c r="A65" s="14" t="s">
        <v>356</v>
      </c>
      <c r="B65" s="14" t="s">
        <v>25</v>
      </c>
      <c r="C65" s="14" t="s">
        <v>473</v>
      </c>
      <c r="D65" s="14" t="s">
        <v>474</v>
      </c>
      <c r="E65" s="14" t="s">
        <v>359</v>
      </c>
    </row>
    <row r="66" customFormat="false" ht="15" hidden="false" customHeight="false" outlineLevel="0" collapsed="false">
      <c r="A66" s="14" t="s">
        <v>356</v>
      </c>
      <c r="B66" s="14" t="s">
        <v>25</v>
      </c>
      <c r="C66" s="14" t="s">
        <v>475</v>
      </c>
      <c r="D66" s="14" t="s">
        <v>476</v>
      </c>
      <c r="E66" s="14" t="s">
        <v>359</v>
      </c>
    </row>
    <row r="67" customFormat="false" ht="15" hidden="false" customHeight="false" outlineLevel="0" collapsed="false">
      <c r="A67" s="14" t="s">
        <v>356</v>
      </c>
      <c r="B67" s="14" t="s">
        <v>25</v>
      </c>
      <c r="C67" s="14" t="s">
        <v>477</v>
      </c>
      <c r="D67" s="14" t="s">
        <v>478</v>
      </c>
      <c r="E67" s="14" t="s">
        <v>359</v>
      </c>
    </row>
    <row r="68" customFormat="false" ht="15" hidden="false" customHeight="false" outlineLevel="0" collapsed="false">
      <c r="A68" s="14" t="s">
        <v>356</v>
      </c>
      <c r="B68" s="14" t="s">
        <v>25</v>
      </c>
      <c r="C68" s="14" t="s">
        <v>479</v>
      </c>
      <c r="D68" s="14" t="s">
        <v>480</v>
      </c>
      <c r="E68" s="14" t="s">
        <v>359</v>
      </c>
    </row>
    <row r="69" customFormat="false" ht="15" hidden="false" customHeight="false" outlineLevel="0" collapsed="false">
      <c r="A69" s="14" t="s">
        <v>356</v>
      </c>
      <c r="B69" s="14" t="s">
        <v>25</v>
      </c>
      <c r="C69" s="14" t="s">
        <v>481</v>
      </c>
      <c r="D69" s="14" t="s">
        <v>482</v>
      </c>
      <c r="E69" s="14" t="s">
        <v>359</v>
      </c>
    </row>
    <row r="70" customFormat="false" ht="15" hidden="false" customHeight="false" outlineLevel="0" collapsed="false">
      <c r="A70" s="14" t="s">
        <v>356</v>
      </c>
      <c r="B70" s="14" t="s">
        <v>25</v>
      </c>
      <c r="C70" s="14" t="s">
        <v>483</v>
      </c>
      <c r="D70" s="14" t="s">
        <v>484</v>
      </c>
      <c r="E70" s="14" t="s">
        <v>359</v>
      </c>
    </row>
    <row r="71" customFormat="false" ht="15" hidden="false" customHeight="false" outlineLevel="0" collapsed="false">
      <c r="A71" s="14" t="s">
        <v>356</v>
      </c>
      <c r="B71" s="14" t="s">
        <v>25</v>
      </c>
      <c r="C71" s="14" t="s">
        <v>485</v>
      </c>
      <c r="D71" s="14" t="s">
        <v>486</v>
      </c>
      <c r="E71" s="14" t="s">
        <v>359</v>
      </c>
    </row>
    <row r="72" customFormat="false" ht="15" hidden="false" customHeight="false" outlineLevel="0" collapsed="false">
      <c r="A72" s="14" t="s">
        <v>356</v>
      </c>
      <c r="B72" s="14" t="s">
        <v>25</v>
      </c>
      <c r="C72" s="14" t="s">
        <v>487</v>
      </c>
      <c r="D72" s="14" t="s">
        <v>488</v>
      </c>
      <c r="E72" s="14" t="s">
        <v>359</v>
      </c>
    </row>
    <row r="73" customFormat="false" ht="15" hidden="false" customHeight="false" outlineLevel="0" collapsed="false">
      <c r="A73" s="14" t="s">
        <v>341</v>
      </c>
      <c r="B73" s="14" t="s">
        <v>27</v>
      </c>
      <c r="C73" s="14" t="s">
        <v>379</v>
      </c>
      <c r="D73" s="14" t="s">
        <v>349</v>
      </c>
    </row>
    <row r="74" customFormat="false" ht="15" hidden="false" customHeight="false" outlineLevel="0" collapsed="false">
      <c r="A74" s="14" t="s">
        <v>356</v>
      </c>
      <c r="B74" s="14" t="s">
        <v>27</v>
      </c>
      <c r="C74" s="14" t="s">
        <v>344</v>
      </c>
      <c r="D74" s="14" t="s">
        <v>489</v>
      </c>
      <c r="E74" s="14" t="s">
        <v>490</v>
      </c>
    </row>
    <row r="75" customFormat="false" ht="15" hidden="false" customHeight="false" outlineLevel="0" collapsed="false">
      <c r="A75" s="14" t="s">
        <v>356</v>
      </c>
      <c r="B75" s="14" t="s">
        <v>27</v>
      </c>
      <c r="C75" s="14" t="s">
        <v>346</v>
      </c>
      <c r="D75" s="14" t="s">
        <v>491</v>
      </c>
      <c r="E75" s="14" t="s">
        <v>359</v>
      </c>
    </row>
    <row r="76" customFormat="false" ht="15" hidden="false" customHeight="false" outlineLevel="0" collapsed="false">
      <c r="A76" s="14" t="s">
        <v>356</v>
      </c>
      <c r="B76" s="14" t="s">
        <v>27</v>
      </c>
      <c r="C76" s="14" t="s">
        <v>348</v>
      </c>
      <c r="D76" s="14" t="s">
        <v>492</v>
      </c>
      <c r="E76" s="14" t="s">
        <v>359</v>
      </c>
    </row>
    <row r="77" customFormat="false" ht="15" hidden="false" customHeight="false" outlineLevel="0" collapsed="false">
      <c r="A77" s="14" t="s">
        <v>356</v>
      </c>
      <c r="B77" s="14" t="s">
        <v>27</v>
      </c>
      <c r="C77" s="14" t="s">
        <v>350</v>
      </c>
      <c r="D77" s="14" t="s">
        <v>493</v>
      </c>
      <c r="E77" s="14" t="s">
        <v>359</v>
      </c>
    </row>
    <row r="78" customFormat="false" ht="15" hidden="false" customHeight="false" outlineLevel="0" collapsed="false">
      <c r="A78" s="14" t="s">
        <v>356</v>
      </c>
      <c r="B78" s="14" t="s">
        <v>27</v>
      </c>
      <c r="C78" s="14" t="s">
        <v>352</v>
      </c>
      <c r="D78" s="14" t="s">
        <v>494</v>
      </c>
      <c r="E78" s="14" t="s">
        <v>359</v>
      </c>
    </row>
    <row r="79" customFormat="false" ht="15" hidden="false" customHeight="false" outlineLevel="0" collapsed="false">
      <c r="A79" s="14" t="s">
        <v>356</v>
      </c>
      <c r="B79" s="14" t="s">
        <v>27</v>
      </c>
      <c r="C79" s="14" t="s">
        <v>354</v>
      </c>
      <c r="D79" s="14" t="s">
        <v>495</v>
      </c>
      <c r="E79" s="14" t="s">
        <v>359</v>
      </c>
    </row>
    <row r="80" customFormat="false" ht="15" hidden="false" customHeight="false" outlineLevel="0" collapsed="false">
      <c r="A80" s="14" t="s">
        <v>356</v>
      </c>
      <c r="B80" s="14" t="s">
        <v>27</v>
      </c>
      <c r="C80" s="14" t="s">
        <v>496</v>
      </c>
      <c r="D80" s="14" t="s">
        <v>497</v>
      </c>
      <c r="E80" s="14" t="s">
        <v>359</v>
      </c>
    </row>
    <row r="81" customFormat="false" ht="15" hidden="false" customHeight="false" outlineLevel="0" collapsed="false">
      <c r="A81" s="14" t="s">
        <v>356</v>
      </c>
      <c r="B81" s="14" t="s">
        <v>27</v>
      </c>
      <c r="C81" s="14" t="s">
        <v>498</v>
      </c>
      <c r="D81" s="14" t="s">
        <v>499</v>
      </c>
      <c r="E81" s="14" t="s">
        <v>359</v>
      </c>
    </row>
    <row r="82" customFormat="false" ht="15" hidden="false" customHeight="false" outlineLevel="0" collapsed="false">
      <c r="A82" s="14" t="s">
        <v>356</v>
      </c>
      <c r="B82" s="14" t="s">
        <v>27</v>
      </c>
      <c r="C82" s="14" t="s">
        <v>500</v>
      </c>
      <c r="D82" s="14" t="s">
        <v>501</v>
      </c>
      <c r="E82" s="14" t="s">
        <v>359</v>
      </c>
    </row>
    <row r="83" customFormat="false" ht="15" hidden="false" customHeight="false" outlineLevel="0" collapsed="false">
      <c r="A83" s="14" t="s">
        <v>356</v>
      </c>
      <c r="B83" s="14" t="s">
        <v>27</v>
      </c>
      <c r="C83" s="14" t="s">
        <v>357</v>
      </c>
      <c r="D83" s="14" t="s">
        <v>502</v>
      </c>
      <c r="E83" s="14" t="s">
        <v>359</v>
      </c>
    </row>
    <row r="84" customFormat="false" ht="15" hidden="false" customHeight="false" outlineLevel="0" collapsed="false">
      <c r="A84" s="14" t="s">
        <v>356</v>
      </c>
      <c r="B84" s="14" t="s">
        <v>27</v>
      </c>
      <c r="C84" s="14" t="s">
        <v>360</v>
      </c>
      <c r="D84" s="14" t="s">
        <v>503</v>
      </c>
      <c r="E84" s="14" t="s">
        <v>359</v>
      </c>
    </row>
    <row r="85" customFormat="false" ht="15" hidden="false" customHeight="false" outlineLevel="0" collapsed="false">
      <c r="A85" s="14" t="s">
        <v>356</v>
      </c>
      <c r="B85" s="14" t="s">
        <v>27</v>
      </c>
      <c r="C85" s="14" t="s">
        <v>504</v>
      </c>
      <c r="D85" s="14" t="s">
        <v>505</v>
      </c>
      <c r="E85" s="14" t="s">
        <v>490</v>
      </c>
    </row>
    <row r="86" customFormat="false" ht="15" hidden="false" customHeight="false" outlineLevel="0" collapsed="false">
      <c r="A86" s="14" t="s">
        <v>356</v>
      </c>
      <c r="B86" s="14" t="s">
        <v>27</v>
      </c>
      <c r="C86" s="14" t="s">
        <v>429</v>
      </c>
      <c r="D86" s="14" t="s">
        <v>506</v>
      </c>
      <c r="E86" s="14" t="s">
        <v>359</v>
      </c>
    </row>
    <row r="87" customFormat="false" ht="15" hidden="false" customHeight="false" outlineLevel="0" collapsed="false">
      <c r="A87" s="14" t="s">
        <v>356</v>
      </c>
      <c r="B87" s="14" t="s">
        <v>27</v>
      </c>
      <c r="C87" s="14" t="s">
        <v>431</v>
      </c>
      <c r="D87" s="14" t="s">
        <v>507</v>
      </c>
      <c r="E87" s="14" t="s">
        <v>359</v>
      </c>
    </row>
    <row r="88" customFormat="false" ht="15" hidden="false" customHeight="false" outlineLevel="0" collapsed="false">
      <c r="A88" s="14" t="s">
        <v>356</v>
      </c>
      <c r="B88" s="14" t="s">
        <v>27</v>
      </c>
      <c r="C88" s="14" t="s">
        <v>433</v>
      </c>
      <c r="D88" s="14" t="s">
        <v>508</v>
      </c>
      <c r="E88" s="14" t="s">
        <v>359</v>
      </c>
    </row>
    <row r="89" customFormat="false" ht="15" hidden="false" customHeight="false" outlineLevel="0" collapsed="false">
      <c r="A89" s="14" t="s">
        <v>356</v>
      </c>
      <c r="B89" s="14" t="s">
        <v>27</v>
      </c>
      <c r="C89" s="14" t="s">
        <v>369</v>
      </c>
      <c r="D89" s="14" t="s">
        <v>509</v>
      </c>
      <c r="E89" s="14" t="s">
        <v>359</v>
      </c>
    </row>
    <row r="90" customFormat="false" ht="15" hidden="false" customHeight="false" outlineLevel="0" collapsed="false">
      <c r="A90" s="14" t="s">
        <v>356</v>
      </c>
      <c r="B90" s="14" t="s">
        <v>27</v>
      </c>
      <c r="C90" s="14" t="s">
        <v>371</v>
      </c>
      <c r="D90" s="14" t="s">
        <v>510</v>
      </c>
      <c r="E90" s="14" t="s">
        <v>359</v>
      </c>
    </row>
    <row r="91" customFormat="false" ht="15" hidden="false" customHeight="false" outlineLevel="0" collapsed="false">
      <c r="A91" s="14" t="s">
        <v>356</v>
      </c>
      <c r="B91" s="14" t="s">
        <v>27</v>
      </c>
      <c r="C91" s="14" t="s">
        <v>373</v>
      </c>
      <c r="D91" s="14" t="s">
        <v>511</v>
      </c>
      <c r="E91" s="14" t="s">
        <v>359</v>
      </c>
    </row>
    <row r="92" customFormat="false" ht="15" hidden="false" customHeight="false" outlineLevel="0" collapsed="false">
      <c r="A92" s="14" t="s">
        <v>356</v>
      </c>
      <c r="B92" s="14" t="s">
        <v>27</v>
      </c>
      <c r="C92" s="14" t="s">
        <v>375</v>
      </c>
      <c r="D92" s="14" t="s">
        <v>512</v>
      </c>
      <c r="E92" s="14" t="s">
        <v>359</v>
      </c>
    </row>
    <row r="93" customFormat="false" ht="15" hidden="false" customHeight="false" outlineLevel="0" collapsed="false">
      <c r="A93" s="14" t="s">
        <v>356</v>
      </c>
      <c r="B93" s="14" t="s">
        <v>27</v>
      </c>
      <c r="C93" s="14" t="s">
        <v>377</v>
      </c>
      <c r="D93" s="14" t="s">
        <v>513</v>
      </c>
      <c r="E93" s="14" t="s">
        <v>359</v>
      </c>
    </row>
    <row r="94" customFormat="false" ht="15" hidden="false" customHeight="false" outlineLevel="0" collapsed="false">
      <c r="A94" s="14" t="s">
        <v>356</v>
      </c>
      <c r="B94" s="14" t="s">
        <v>27</v>
      </c>
      <c r="C94" s="14" t="s">
        <v>514</v>
      </c>
      <c r="D94" s="14" t="s">
        <v>515</v>
      </c>
      <c r="E94" s="14" t="s">
        <v>359</v>
      </c>
    </row>
    <row r="95" customFormat="false" ht="15" hidden="false" customHeight="false" outlineLevel="0" collapsed="false">
      <c r="A95" s="14" t="s">
        <v>356</v>
      </c>
      <c r="B95" s="14" t="s">
        <v>27</v>
      </c>
      <c r="C95" s="14" t="s">
        <v>438</v>
      </c>
      <c r="D95" s="14" t="s">
        <v>516</v>
      </c>
      <c r="E95" s="14" t="s">
        <v>359</v>
      </c>
    </row>
    <row r="96" customFormat="false" ht="15" hidden="false" customHeight="false" outlineLevel="0" collapsed="false">
      <c r="A96" s="14" t="s">
        <v>356</v>
      </c>
      <c r="B96" s="14" t="s">
        <v>27</v>
      </c>
      <c r="C96" s="14" t="s">
        <v>446</v>
      </c>
      <c r="D96" s="14" t="s">
        <v>517</v>
      </c>
      <c r="E96" s="14" t="s">
        <v>490</v>
      </c>
    </row>
    <row r="97" customFormat="false" ht="15" hidden="false" customHeight="false" outlineLevel="0" collapsed="false">
      <c r="A97" s="14" t="s">
        <v>356</v>
      </c>
      <c r="B97" s="14" t="s">
        <v>27</v>
      </c>
      <c r="C97" s="14" t="s">
        <v>448</v>
      </c>
      <c r="D97" s="14" t="s">
        <v>518</v>
      </c>
      <c r="E97" s="14" t="s">
        <v>359</v>
      </c>
    </row>
    <row r="98" customFormat="false" ht="15" hidden="false" customHeight="false" outlineLevel="0" collapsed="false">
      <c r="A98" s="14" t="s">
        <v>356</v>
      </c>
      <c r="B98" s="14" t="s">
        <v>27</v>
      </c>
      <c r="C98" s="14" t="s">
        <v>519</v>
      </c>
      <c r="D98" s="14" t="s">
        <v>520</v>
      </c>
      <c r="E98" s="14" t="s">
        <v>359</v>
      </c>
    </row>
    <row r="99" customFormat="false" ht="15" hidden="false" customHeight="false" outlineLevel="0" collapsed="false">
      <c r="A99" s="14" t="s">
        <v>356</v>
      </c>
      <c r="B99" s="14" t="s">
        <v>27</v>
      </c>
      <c r="C99" s="14" t="s">
        <v>521</v>
      </c>
      <c r="D99" s="14" t="s">
        <v>522</v>
      </c>
      <c r="E99" s="14" t="s">
        <v>359</v>
      </c>
    </row>
    <row r="100" customFormat="false" ht="15" hidden="false" customHeight="false" outlineLevel="0" collapsed="false">
      <c r="A100" s="14" t="s">
        <v>356</v>
      </c>
      <c r="B100" s="14" t="s">
        <v>27</v>
      </c>
      <c r="C100" s="14" t="s">
        <v>523</v>
      </c>
      <c r="D100" s="14" t="s">
        <v>524</v>
      </c>
      <c r="E100" s="14" t="s">
        <v>359</v>
      </c>
    </row>
    <row r="101" customFormat="false" ht="15" hidden="false" customHeight="false" outlineLevel="0" collapsed="false">
      <c r="A101" s="14" t="s">
        <v>356</v>
      </c>
      <c r="B101" s="14" t="s">
        <v>27</v>
      </c>
      <c r="C101" s="14" t="s">
        <v>450</v>
      </c>
      <c r="D101" s="14" t="s">
        <v>525</v>
      </c>
      <c r="E101" s="14" t="s">
        <v>359</v>
      </c>
    </row>
    <row r="102" customFormat="false" ht="15" hidden="false" customHeight="false" outlineLevel="0" collapsed="false">
      <c r="A102" s="14" t="s">
        <v>356</v>
      </c>
      <c r="B102" s="14" t="s">
        <v>27</v>
      </c>
      <c r="C102" s="14" t="s">
        <v>526</v>
      </c>
      <c r="D102" s="14" t="s">
        <v>527</v>
      </c>
      <c r="E102" s="14" t="s">
        <v>359</v>
      </c>
    </row>
    <row r="103" customFormat="false" ht="15" hidden="false" customHeight="false" outlineLevel="0" collapsed="false">
      <c r="A103" s="14" t="s">
        <v>356</v>
      </c>
      <c r="B103" s="14" t="s">
        <v>27</v>
      </c>
      <c r="C103" s="14" t="s">
        <v>528</v>
      </c>
      <c r="D103" s="14" t="s">
        <v>529</v>
      </c>
      <c r="E103" s="14" t="s">
        <v>359</v>
      </c>
    </row>
    <row r="104" customFormat="false" ht="15" hidden="false" customHeight="false" outlineLevel="0" collapsed="false">
      <c r="A104" s="14" t="s">
        <v>356</v>
      </c>
      <c r="B104" s="14" t="s">
        <v>27</v>
      </c>
      <c r="C104" s="14" t="s">
        <v>530</v>
      </c>
      <c r="D104" s="14" t="s">
        <v>531</v>
      </c>
      <c r="E104" s="14" t="s">
        <v>359</v>
      </c>
    </row>
    <row r="105" customFormat="false" ht="15" hidden="false" customHeight="false" outlineLevel="0" collapsed="false">
      <c r="A105" s="14" t="s">
        <v>356</v>
      </c>
      <c r="B105" s="14" t="s">
        <v>27</v>
      </c>
      <c r="C105" s="14" t="s">
        <v>532</v>
      </c>
      <c r="D105" s="14" t="s">
        <v>533</v>
      </c>
      <c r="E105" s="14" t="s">
        <v>359</v>
      </c>
    </row>
    <row r="106" customFormat="false" ht="15" hidden="false" customHeight="false" outlineLevel="0" collapsed="false">
      <c r="A106" s="14" t="s">
        <v>356</v>
      </c>
      <c r="B106" s="14" t="s">
        <v>27</v>
      </c>
      <c r="C106" s="14" t="s">
        <v>534</v>
      </c>
      <c r="D106" s="14" t="s">
        <v>535</v>
      </c>
      <c r="E106" s="14" t="s">
        <v>359</v>
      </c>
    </row>
    <row r="107" customFormat="false" ht="15" hidden="false" customHeight="false" outlineLevel="0" collapsed="false">
      <c r="A107" s="14" t="s">
        <v>341</v>
      </c>
      <c r="B107" s="14" t="s">
        <v>272</v>
      </c>
      <c r="C107" s="14" t="s">
        <v>379</v>
      </c>
      <c r="D107" s="14" t="s">
        <v>353</v>
      </c>
    </row>
    <row r="108" customFormat="false" ht="15" hidden="false" customHeight="false" outlineLevel="0" collapsed="false">
      <c r="A108" s="14" t="s">
        <v>380</v>
      </c>
      <c r="B108" s="14" t="s">
        <v>272</v>
      </c>
      <c r="C108" s="14" t="s">
        <v>536</v>
      </c>
      <c r="D108" s="14" t="s">
        <v>537</v>
      </c>
      <c r="E108" s="14" t="s">
        <v>538</v>
      </c>
    </row>
    <row r="109" customFormat="false" ht="15" hidden="false" customHeight="false" outlineLevel="0" collapsed="false">
      <c r="A109" s="14" t="s">
        <v>380</v>
      </c>
      <c r="B109" s="14" t="s">
        <v>272</v>
      </c>
      <c r="C109" s="14" t="s">
        <v>539</v>
      </c>
      <c r="D109" s="14" t="s">
        <v>540</v>
      </c>
      <c r="E109" s="14" t="s">
        <v>541</v>
      </c>
    </row>
    <row r="110" customFormat="false" ht="15" hidden="false" customHeight="false" outlineLevel="0" collapsed="false">
      <c r="A110" s="14" t="s">
        <v>356</v>
      </c>
      <c r="B110" s="14" t="s">
        <v>272</v>
      </c>
      <c r="C110" s="14" t="s">
        <v>521</v>
      </c>
      <c r="D110" s="14" t="s">
        <v>542</v>
      </c>
      <c r="E110" s="14" t="s">
        <v>359</v>
      </c>
    </row>
    <row r="111" customFormat="false" ht="15" hidden="false" customHeight="false" outlineLevel="0" collapsed="false">
      <c r="A111" s="14" t="s">
        <v>356</v>
      </c>
      <c r="B111" s="14" t="s">
        <v>272</v>
      </c>
      <c r="C111" s="14" t="s">
        <v>523</v>
      </c>
      <c r="D111" s="14" t="s">
        <v>543</v>
      </c>
      <c r="E111" s="14" t="s">
        <v>359</v>
      </c>
    </row>
    <row r="112" customFormat="false" ht="15" hidden="false" customHeight="false" outlineLevel="0" collapsed="false">
      <c r="A112" s="14" t="s">
        <v>356</v>
      </c>
      <c r="B112" s="14" t="s">
        <v>272</v>
      </c>
      <c r="C112" s="14" t="s">
        <v>450</v>
      </c>
      <c r="D112" s="14" t="s">
        <v>544</v>
      </c>
      <c r="E112" s="14" t="s">
        <v>490</v>
      </c>
    </row>
    <row r="113" customFormat="false" ht="15" hidden="false" customHeight="false" outlineLevel="0" collapsed="false">
      <c r="A113" s="14" t="s">
        <v>356</v>
      </c>
      <c r="B113" s="14" t="s">
        <v>272</v>
      </c>
      <c r="C113" s="14" t="s">
        <v>526</v>
      </c>
      <c r="D113" s="14" t="s">
        <v>545</v>
      </c>
      <c r="E113" s="14" t="s">
        <v>490</v>
      </c>
    </row>
    <row r="114" customFormat="false" ht="15" hidden="false" customHeight="false" outlineLevel="0" collapsed="false">
      <c r="A114" s="14" t="s">
        <v>356</v>
      </c>
      <c r="B114" s="14" t="s">
        <v>272</v>
      </c>
      <c r="C114" s="14" t="s">
        <v>528</v>
      </c>
      <c r="D114" s="14" t="s">
        <v>546</v>
      </c>
      <c r="E114" s="14" t="s">
        <v>490</v>
      </c>
    </row>
    <row r="115" customFormat="false" ht="15" hidden="false" customHeight="false" outlineLevel="0" collapsed="false">
      <c r="A115" s="14" t="s">
        <v>341</v>
      </c>
      <c r="B115" s="14" t="s">
        <v>28</v>
      </c>
      <c r="C115" s="14" t="s">
        <v>379</v>
      </c>
      <c r="D115" s="14" t="s">
        <v>351</v>
      </c>
    </row>
    <row r="116" customFormat="false" ht="15" hidden="false" customHeight="false" outlineLevel="0" collapsed="false">
      <c r="A116" s="14" t="s">
        <v>356</v>
      </c>
      <c r="B116" s="14" t="s">
        <v>28</v>
      </c>
      <c r="C116" s="14" t="s">
        <v>344</v>
      </c>
      <c r="D116" s="14" t="s">
        <v>547</v>
      </c>
      <c r="E116" s="14" t="s">
        <v>359</v>
      </c>
    </row>
    <row r="117" customFormat="false" ht="15" hidden="false" customHeight="false" outlineLevel="0" collapsed="false">
      <c r="A117" s="14" t="s">
        <v>356</v>
      </c>
      <c r="B117" s="14" t="s">
        <v>28</v>
      </c>
      <c r="C117" s="14" t="s">
        <v>346</v>
      </c>
      <c r="D117" s="14" t="s">
        <v>548</v>
      </c>
      <c r="E117" s="14" t="s">
        <v>359</v>
      </c>
    </row>
    <row r="118" customFormat="false" ht="15" hidden="false" customHeight="false" outlineLevel="0" collapsed="false">
      <c r="A118" s="14" t="s">
        <v>356</v>
      </c>
      <c r="B118" s="14" t="s">
        <v>28</v>
      </c>
      <c r="C118" s="14" t="s">
        <v>348</v>
      </c>
      <c r="D118" s="14" t="s">
        <v>549</v>
      </c>
      <c r="E118" s="14" t="s">
        <v>359</v>
      </c>
    </row>
    <row r="119" customFormat="false" ht="15" hidden="false" customHeight="false" outlineLevel="0" collapsed="false">
      <c r="A119" s="14" t="s">
        <v>356</v>
      </c>
      <c r="B119" s="14" t="s">
        <v>28</v>
      </c>
      <c r="C119" s="14" t="s">
        <v>350</v>
      </c>
      <c r="D119" s="14" t="s">
        <v>550</v>
      </c>
      <c r="E119" s="14" t="s">
        <v>359</v>
      </c>
    </row>
    <row r="120" customFormat="false" ht="15" hidden="false" customHeight="false" outlineLevel="0" collapsed="false">
      <c r="A120" s="14" t="s">
        <v>356</v>
      </c>
      <c r="B120" s="14" t="s">
        <v>28</v>
      </c>
      <c r="C120" s="14" t="s">
        <v>352</v>
      </c>
      <c r="D120" s="14" t="s">
        <v>551</v>
      </c>
      <c r="E120" s="14" t="s">
        <v>359</v>
      </c>
    </row>
    <row r="121" customFormat="false" ht="15" hidden="false" customHeight="false" outlineLevel="0" collapsed="false">
      <c r="A121" s="14" t="s">
        <v>356</v>
      </c>
      <c r="B121" s="14" t="s">
        <v>28</v>
      </c>
      <c r="C121" s="14" t="s">
        <v>354</v>
      </c>
      <c r="D121" s="14" t="s">
        <v>552</v>
      </c>
      <c r="E121" s="14" t="s">
        <v>359</v>
      </c>
    </row>
    <row r="122" customFormat="false" ht="15" hidden="false" customHeight="false" outlineLevel="0" collapsed="false">
      <c r="A122" s="14" t="s">
        <v>356</v>
      </c>
      <c r="B122" s="14" t="s">
        <v>28</v>
      </c>
      <c r="C122" s="14" t="s">
        <v>357</v>
      </c>
      <c r="D122" s="14" t="s">
        <v>553</v>
      </c>
      <c r="E122" s="14" t="s">
        <v>359</v>
      </c>
    </row>
    <row r="123" customFormat="false" ht="15" hidden="false" customHeight="false" outlineLevel="0" collapsed="false">
      <c r="A123" s="14" t="s">
        <v>356</v>
      </c>
      <c r="B123" s="14" t="s">
        <v>28</v>
      </c>
      <c r="C123" s="14" t="s">
        <v>360</v>
      </c>
      <c r="D123" s="14" t="s">
        <v>554</v>
      </c>
      <c r="E123" s="14" t="s">
        <v>359</v>
      </c>
    </row>
    <row r="124" customFormat="false" ht="15" hidden="false" customHeight="false" outlineLevel="0" collapsed="false">
      <c r="A124" s="14" t="s">
        <v>356</v>
      </c>
      <c r="B124" s="14" t="s">
        <v>28</v>
      </c>
      <c r="C124" s="14" t="s">
        <v>362</v>
      </c>
      <c r="D124" s="14" t="s">
        <v>555</v>
      </c>
      <c r="E124" s="14" t="s">
        <v>359</v>
      </c>
    </row>
    <row r="125" customFormat="false" ht="15" hidden="false" customHeight="false" outlineLevel="0" collapsed="false">
      <c r="A125" s="14" t="s">
        <v>356</v>
      </c>
      <c r="B125" s="14" t="s">
        <v>28</v>
      </c>
      <c r="C125" s="14" t="s">
        <v>365</v>
      </c>
      <c r="D125" s="14" t="s">
        <v>556</v>
      </c>
      <c r="E125" s="14" t="s">
        <v>359</v>
      </c>
    </row>
    <row r="126" customFormat="false" ht="15" hidden="false" customHeight="false" outlineLevel="0" collapsed="false">
      <c r="A126" s="14" t="s">
        <v>356</v>
      </c>
      <c r="B126" s="14" t="s">
        <v>28</v>
      </c>
      <c r="C126" s="14" t="s">
        <v>367</v>
      </c>
      <c r="D126" s="14" t="s">
        <v>557</v>
      </c>
      <c r="E126" s="14" t="s">
        <v>359</v>
      </c>
    </row>
    <row r="127" customFormat="false" ht="15" hidden="false" customHeight="false" outlineLevel="0" collapsed="false">
      <c r="A127" s="14" t="s">
        <v>356</v>
      </c>
      <c r="B127" s="14" t="s">
        <v>28</v>
      </c>
      <c r="C127" s="14" t="s">
        <v>504</v>
      </c>
      <c r="D127" s="14" t="s">
        <v>558</v>
      </c>
      <c r="E127" s="14" t="s">
        <v>359</v>
      </c>
    </row>
    <row r="128" customFormat="false" ht="15" hidden="false" customHeight="false" outlineLevel="0" collapsed="false">
      <c r="A128" s="14" t="s">
        <v>356</v>
      </c>
      <c r="B128" s="14" t="s">
        <v>28</v>
      </c>
      <c r="C128" s="14" t="s">
        <v>429</v>
      </c>
      <c r="D128" s="14" t="s">
        <v>559</v>
      </c>
      <c r="E128" s="14" t="s">
        <v>359</v>
      </c>
    </row>
    <row r="129" customFormat="false" ht="15" hidden="false" customHeight="false" outlineLevel="0" collapsed="false">
      <c r="A129" s="14" t="s">
        <v>356</v>
      </c>
      <c r="B129" s="14" t="s">
        <v>28</v>
      </c>
      <c r="C129" s="14" t="s">
        <v>431</v>
      </c>
      <c r="D129" s="14" t="s">
        <v>560</v>
      </c>
      <c r="E129" s="14" t="s">
        <v>359</v>
      </c>
    </row>
    <row r="130" customFormat="false" ht="15" hidden="false" customHeight="false" outlineLevel="0" collapsed="false">
      <c r="A130" s="14" t="s">
        <v>380</v>
      </c>
      <c r="B130" s="14" t="s">
        <v>28</v>
      </c>
      <c r="C130" s="14" t="s">
        <v>561</v>
      </c>
      <c r="D130" s="14" t="s">
        <v>562</v>
      </c>
      <c r="E130" s="14" t="s">
        <v>457</v>
      </c>
    </row>
    <row r="131" customFormat="false" ht="15" hidden="false" customHeight="false" outlineLevel="0" collapsed="false">
      <c r="A131" s="14" t="s">
        <v>356</v>
      </c>
      <c r="B131" s="14" t="s">
        <v>28</v>
      </c>
      <c r="C131" s="14" t="s">
        <v>526</v>
      </c>
      <c r="D131" s="14" t="s">
        <v>563</v>
      </c>
      <c r="E131" s="14" t="s">
        <v>359</v>
      </c>
    </row>
  </sheetData>
  <printOptions headings="false" gridLines="false" gridLinesSet="true" horizontalCentered="false" verticalCentered="false"/>
  <pageMargins left="0.5" right="0.5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