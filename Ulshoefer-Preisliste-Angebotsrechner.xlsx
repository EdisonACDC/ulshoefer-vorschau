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Anleitung" sheetId="1" r:id="rId1"/>
    <sheet name="Allgemein" sheetId="2" r:id="rId2"/>
    <sheet name="Klimaanlage" sheetId="3" r:id="rId3"/>
    <sheet name="Wärmepumpe" sheetId="4" r:id="rId4"/>
    <sheet name="Photovoltaik" sheetId="5" r:id="rId5"/>
    <sheet name="Smart Home" sheetId="6" r:id="rId6"/>
    <sheet name="Hausgeräte" sheetId="7" r:id="rId7"/>
    <sheet name="Elektroinstallation" sheetId="8" r:id="rId8"/>
    <sheet name="_zuordnung" sheetId="9" state="hidden" r:id="rId9"/>
  </sheets>
  <calcPr calcId="191029" fullCalcOnLoad="1"/>
</workbook>
</file>

<file path=xl/styles.xml><?xml version="1.0" encoding="utf-8"?>
<styleSheet xmlns="http://schemas.openxmlformats.org/spreadsheetml/2006/main">
  <numFmts count="5">
    <numFmt numFmtId="164" formatCode="#,##0.00 &quot;€&quot;"/>
    <numFmt numFmtId="165" formatCode="0%"/>
    <numFmt numFmtId="166" formatCode="#,##0.00"/>
    <numFmt numFmtId="167" formatCode="#,##0 &quot;€&quot;"/>
    <numFmt numFmtId="168" formatCode="0.000 &quot;€&quot;"/>
  </numFmts>
  <fonts count="8">
    <font>
      <sz val="10"/>
      <name val="Arial"/>
    </font>
    <font>
      <b/>
      <sz val="16"/>
      <color rgb="FFE2001A"/>
      <name val="Arial"/>
    </font>
    <font>
      <b/>
      <sz val="12"/>
      <name val="Arial"/>
    </font>
    <font>
      <i/>
      <sz val="9"/>
      <color rgb="FF666666"/>
      <name val="Arial"/>
    </font>
    <font>
      <b/>
      <sz val="10"/>
      <color rgb="FFFFFFFF"/>
      <name val="Arial"/>
    </font>
    <font>
      <sz val="10"/>
      <color rgb="FF0000FF"/>
      <name val="Arial"/>
    </font>
    <font>
      <b/>
      <sz val="10"/>
      <name val="Arial"/>
    </font>
    <font>
      <sz val="10"/>
      <name val="Arial"/>
    </font>
  </fonts>
  <fills count="5">
    <fill>
      <patternFill patternType="none"/>
    </fill>
    <fill>
      <patternFill patternType="gray125"/>
    </fill>
    <fill>
      <patternFill patternType="solid">
        <fgColor rgb="FFFFF2CC"/>
        <bgColor indexed="64"/>
      </patternFill>
    </fill>
    <fill>
      <patternFill patternType="solid">
        <fgColor rgb="FF1F2328"/>
        <bgColor indexed="64"/>
      </patternFill>
    </fill>
    <fill>
      <patternFill patternType="solid">
        <fgColor rgb="FFF3F4F6"/>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0" borderId="0" xfId="0" applyFont="1"/>
    <xf numFmtId="0" fontId="4" fillId="3" borderId="1" xfId="0" applyFont="1" applyFill="1" applyBorder="1" applyAlignment="1">
      <alignment wrapText="1" vertical="center"/>
    </xf>
    <xf numFmtId="0" fontId="7" fillId="0" borderId="1" xfId="0" applyBorder="1"/>
    <xf numFmtId="0" fontId="5" fillId="2" borderId="1" xfId="0" applyFont="1" applyFill="1" applyBorder="1"/>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4" fontId="7" fillId="4" borderId="1" xfId="0" applyNumberFormat="1" applyFill="1" applyBorder="1"/>
    <xf numFmtId="1" fontId="5" fillId="2" borderId="1" xfId="0" applyNumberFormat="1" applyFont="1" applyFill="1" applyBorder="1"/>
    <xf numFmtId="0" fontId="0" fillId="0" borderId="0" xfId="0" applyAlignment="1">
      <alignment wrapText="1" vertical="top"/>
    </xf>
    <xf numFmtId="167" fontId="5" fillId="2" borderId="1" xfId="0" applyNumberFormat="1" applyFont="1" applyFill="1" applyBorder="1"/>
    <xf numFmtId="168" fontId="5" fillId="2" borderId="1" xfId="0" applyNumberFormat="1" applyFont="1" applyFill="1" applyBorder="1"/>
  </cellXfs>
  <cellStyles count="1">
    <cellStyle name="Standard"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120" customWidth="1"/>
  </cols>
  <sheetData>
    <row r="1">
      <c r="A1" t="inlineStr" s="1">
        <is>
          <t xml:space="preserve">Preisliste für den Online-Angebotsrechner</t>
        </is>
      </c>
    </row>
    <row r="2">
      <c r="A2" t="inlineStr" s="3">
        <is>
          <t xml:space="preserve">Elektrotechnik Ulshöfer GmbH · erstellt am 25.10.2026 aus der Preisverwaltung</t>
        </is>
      </c>
    </row>
    <row r="4">
      <c r="A4" t="inlineStr" s="2">
        <is>
          <t xml:space="preserve">So ändern Sie Preise mit dieser Tabelle – ganz ohne fremde Hilfe</t>
        </is>
      </c>
    </row>
    <row r="5">
      <c r="A5" t="inlineStr" s="12">
        <is>
          <t xml:space="preserve">1. Tragen Sie Ihre Werte nur in die gelben Zellen mit blauer Schrift ein (Nettopreise, Stunden, Ja/Nein).</t>
        </is>
      </c>
    </row>
    <row r="6">
      <c r="A6" t="inlineStr" s="12">
        <is>
          <t xml:space="preserve">2. Graue Zellen rechnen automatisch (Bruttopreis, Arbeitslohn) – bitte nicht überschreiben.</t>
        </is>
      </c>
    </row>
    <row r="7">
      <c r="A7" t="inlineStr" s="12">
        <is>
          <t xml:space="preserve">3. Neue Geräte tragen Sie in die freien gelben Zeilen unter der jeweiligen Tabelle ein. Ein Gerät, das Sie nicht mehr anbieten wollen: Spalte „Aktiv“ auf „Nein“.</t>
        </is>
      </c>
    </row>
    <row r="8">
      <c r="A8" t="inlineStr" s="12">
        <is>
          <t xml:space="preserve">4. Datei speichern (als Excel-Datei .xlsx, Name beliebig).</t>
        </is>
      </c>
    </row>
    <row r="9">
      <c r="A9" t="inlineStr" s="12">
        <is>
          <t xml:space="preserve">5. In der Preisverwaltung auf „Excel importieren“ klicken und diese Datei wählen. Die Preisverwaltung zeigt, was sich geändert hat.</t>
        </is>
      </c>
    </row>
    <row r="10">
      <c r="A10" t="inlineStr" s="12">
        <is>
          <t xml:space="preserve">6. Änderungen prüfen und auf „Speichern“ klicken – fertig. Die Website rechnet sofort mit Ihren Preisen.</t>
        </is>
      </c>
    </row>
    <row r="12">
      <c r="A12" t="inlineStr" s="2">
        <is>
          <t xml:space="preserve">Gut zu wissen</t>
        </is>
      </c>
    </row>
    <row r="13">
      <c r="A13" t="inlineStr" s="12">
        <is>
          <t xml:space="preserve">• Alle Preise sind Nettopreise – außer im Blatt „Hausgeräte“: dort Bruttopreise wie im Laden.</t>
        </is>
      </c>
    </row>
    <row r="14">
      <c r="A14" t="inlineStr" s="12">
        <is>
          <t xml:space="preserve">• Produktbilder werden in der Preisverwaltung hochgeladen; beim Import bleiben vorhandene Bilder erhalten.</t>
        </is>
      </c>
    </row>
    <row r="15">
      <c r="A15" t="inlineStr" s="12">
        <is>
          <t xml:space="preserve">• Bitte keine Blätter, Spalten oder Überschriften verschieben oder löschen – sonst kann die Tabelle nicht mehr eingelesen werden.</t>
        </is>
      </c>
    </row>
    <row r="16">
      <c r="A16" t="inlineStr" s="12">
        <is>
          <t xml:space="preserve">• Das ausgeblendete Blatt „_zuordnung“ wird für den Import benötigt.</t>
        </is>
      </c>
    </row>
    <row r="18">
      <c r="A18" t="inlineStr" s="2">
        <is>
          <t xml:space="preserve">Legende</t>
        </is>
      </c>
    </row>
    <row r="19">
      <c r="A19" t="inlineStr" s="6">
        <is>
          <t xml:space="preserve">Gelb mit blauer Schrift: Ihre Eingabe</t>
        </is>
      </c>
    </row>
    <row r="20">
      <c r="A20" t="inlineStr" s="10">
        <is>
          <t xml:space="preserve">Grau: wird berechnet</t>
        </is>
      </c>
    </row>
  </sheetData>
  <pageMargins left="0.5" right="0.5" top="0.6" bottom="0.6" header="0.3" footer="0.3"/>
</worksheet>
</file>

<file path=xl/worksheets/sheet2.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Allgemein</t>
        </is>
      </c>
    </row>
    <row r="2">
      <c r="A2" t="inlineStr" s="3">
        <is>
          <t xml:space="preserve">Gelbe Zellen ändern. Bruttopreise und Arbeitslohn werden mit Stundensatz und MwSt. aus „Allgemein“ berechnet.</t>
        </is>
      </c>
    </row>
    <row r="4">
      <c r="A4" t="inlineStr" s="2">
        <is>
          <t xml:space="preserve">Sichtbare Bereiche auf der Website</t>
        </is>
      </c>
    </row>
    <row r="5">
      <c r="A5" t="inlineStr" s="3">
        <is>
          <t xml:space="preserve">Ausgeschaltet: Der Bereich erscheint weder im Rechner noch in der Schnellauswahl oder im Footer. Die Beschreibung unter „Leistungen“ bleibt sichtbar – mit dem Button „Beratung anfragen“.</t>
        </is>
      </c>
    </row>
    <row r="6">
      <c r="A6" t="inlineStr" s="4">
        <is>
          <t xml:space="preserve">Bereich</t>
        </is>
      </c>
      <c r="B6" t="inlineStr" s="4">
        <is>
          <t xml:space="preserve">Sichtbar</t>
        </is>
      </c>
    </row>
    <row r="7">
      <c r="A7" t="inlineStr" s="5">
        <is>
          <t xml:space="preserve">Wärmepumpe</t>
        </is>
      </c>
      <c r="B7" t="inlineStr" s="6">
        <is>
          <t xml:space="preserve">Ja</t>
        </is>
      </c>
    </row>
    <row r="8">
      <c r="A8" t="inlineStr" s="5">
        <is>
          <t xml:space="preserve">Photovoltaik</t>
        </is>
      </c>
      <c r="B8" t="inlineStr" s="6">
        <is>
          <t xml:space="preserve">Ja</t>
        </is>
      </c>
    </row>
    <row r="9">
      <c r="A9" t="inlineStr" s="5">
        <is>
          <t xml:space="preserve">Klimaanlage</t>
        </is>
      </c>
      <c r="B9" t="inlineStr" s="6">
        <is>
          <t xml:space="preserve">Ja</t>
        </is>
      </c>
    </row>
    <row r="10">
      <c r="A10" t="inlineStr" s="5">
        <is>
          <t xml:space="preserve">Smart Home</t>
        </is>
      </c>
      <c r="B10" t="inlineStr" s="6">
        <is>
          <t xml:space="preserve">Ja</t>
        </is>
      </c>
    </row>
    <row r="11">
      <c r="A11" t="inlineStr" s="5">
        <is>
          <t xml:space="preserve">Elektroinstallation</t>
        </is>
      </c>
      <c r="B11" t="inlineStr" s="6">
        <is>
          <t xml:space="preserve">Ja</t>
        </is>
      </c>
    </row>
    <row r="12">
      <c r="A12" t="inlineStr" s="5">
        <is>
          <t xml:space="preserve">Hausgeräte (Online-Bestellung)</t>
        </is>
      </c>
      <c r="B12" t="inlineStr" s="6">
        <is>
          <t xml:space="preserve">Ja</t>
        </is>
      </c>
    </row>
    <row r="13">
      <c r="A13" t="inlineStr" s="5">
        <is>
          <t xml:space="preserve">Chat-Assistent</t>
        </is>
      </c>
      <c r="B13" t="inlineStr" s="6">
        <is>
          <t xml:space="preserve">Ja</t>
        </is>
      </c>
    </row>
    <row r="15">
      <c r="A15" t="inlineStr" s="2">
        <is>
          <t xml:space="preserve">Arbeitslohn und Angebot</t>
        </is>
      </c>
    </row>
    <row r="16">
      <c r="A16" t="inlineStr" s="4">
        <is>
          <t xml:space="preserve">Position</t>
        </is>
      </c>
      <c r="B16" t="inlineStr" s="4">
        <is>
          <t xml:space="preserve">Wert</t>
        </is>
      </c>
      <c r="C16" t="inlineStr" s="4">
        <is>
          <t xml:space="preserve">Einheit</t>
        </is>
      </c>
      <c r="D16" t="inlineStr" s="4">
        <is>
          <t xml:space="preserve">Arbeitslohn netto</t>
        </is>
      </c>
      <c r="E16" t="inlineStr" s="4">
        <is>
          <t xml:space="preserve">Brutto inkl. MwSt.</t>
        </is>
      </c>
    </row>
    <row r="17">
      <c r="A17" t="inlineStr" s="5">
        <is>
          <t xml:space="preserve">Stundensatz Monteur</t>
        </is>
      </c>
      <c r="B17" s="7">
        <v>68</v>
      </c>
      <c r="C17" t="inlineStr" s="5">
        <is>
          <t xml:space="preserve">€/h</t>
        </is>
      </c>
    </row>
    <row r="18">
      <c r="A18" t="inlineStr" s="5">
        <is>
          <t xml:space="preserve">Anfahrt (einmal pro Angebot)</t>
        </is>
      </c>
      <c r="B18" s="7">
        <v>45</v>
      </c>
      <c r="C18" t="inlineStr" s="5">
        <is>
          <t xml:space="preserve">€</t>
        </is>
      </c>
    </row>
    <row r="19">
      <c r="A19" t="inlineStr" s="5">
        <is>
          <t xml:space="preserve">MwSt.</t>
        </is>
      </c>
      <c r="B19" s="8">
        <v>0.19</v>
      </c>
      <c r="C19" t="inlineStr" s="5">
        <is>
          <t xml:space="preserve">%</t>
        </is>
      </c>
    </row>
    <row r="20">
      <c r="A20" t="inlineStr" s="5">
        <is>
          <t xml:space="preserve">Preisspanne „von … bis …“ ±</t>
        </is>
      </c>
      <c r="B20" s="8">
        <v>0.08</v>
      </c>
      <c r="C20" t="inlineStr" s="5">
        <is>
          <t xml:space="preserve">%</t>
        </is>
      </c>
    </row>
    <row r="21">
      <c r="A21" t="inlineStr" s="5">
        <is>
          <t xml:space="preserve">Gültigkeit des Angebots</t>
        </is>
      </c>
      <c r="B21" s="11">
        <v>30</v>
      </c>
      <c r="C21" t="inlineStr" s="5">
        <is>
          <t xml:space="preserve">Tage</t>
        </is>
      </c>
    </row>
    <row r="23">
      <c r="A23" t="inlineStr" s="2">
        <is>
          <t xml:space="preserve">KfW-Förderung (Wärmepumpe, Programm 458)</t>
        </is>
      </c>
    </row>
    <row r="24">
      <c r="A24" t="inlineStr" s="3">
        <is>
          <t xml:space="preserve">KfW-Regeln seit 21.07.2026. Der Klimageschwindigkeitsbonus sinkt auf 12 % ab 1.2.2027 und 8 % ab 1.8.2027. Die förderfähigen Kosten sinken jeweils zum 1.2. und 1.8. um 750 €.</t>
        </is>
      </c>
    </row>
    <row r="25">
      <c r="A25" t="inlineStr" s="4">
        <is>
          <t xml:space="preserve">Position</t>
        </is>
      </c>
      <c r="B25" t="inlineStr" s="4">
        <is>
          <t xml:space="preserve">Wert</t>
        </is>
      </c>
      <c r="C25" t="inlineStr" s="4">
        <is>
          <t xml:space="preserve">Einheit</t>
        </is>
      </c>
      <c r="D25" t="inlineStr" s="4">
        <is>
          <t xml:space="preserve">Arbeitslohn netto</t>
        </is>
      </c>
      <c r="E25" t="inlineStr" s="4">
        <is>
          <t xml:space="preserve">Brutto inkl. MwSt.</t>
        </is>
      </c>
    </row>
    <row r="26">
      <c r="A26" t="inlineStr" s="5">
        <is>
          <t xml:space="preserve">Grundförderung</t>
        </is>
      </c>
      <c r="B26" s="8">
        <v>0.3</v>
      </c>
      <c r="C26" t="inlineStr" s="5">
        <is>
          <t xml:space="preserve">%</t>
        </is>
      </c>
    </row>
    <row r="27">
      <c r="A27" t="inlineStr" s="5">
        <is>
          <t xml:space="preserve">Klimageschwindigkeitsbonus</t>
        </is>
      </c>
      <c r="B27" s="8">
        <v>0.16</v>
      </c>
      <c r="C27" t="inlineStr" s="5">
        <is>
          <t xml:space="preserve">%</t>
        </is>
      </c>
    </row>
    <row r="28">
      <c r="A28" t="inlineStr" s="5">
        <is>
          <t xml:space="preserve">Höchstfördersatz</t>
        </is>
      </c>
      <c r="B28" s="8">
        <v>0.7</v>
      </c>
      <c r="C28" t="inlineStr" s="5">
        <is>
          <t xml:space="preserve">%</t>
        </is>
      </c>
    </row>
    <row r="29">
      <c r="A29" t="inlineStr" s="5">
        <is>
          <t xml:space="preserve">Höchstsatz bei Einkommen bis 30.000 €</t>
        </is>
      </c>
      <c r="B29" s="8">
        <v>0.8</v>
      </c>
      <c r="C29" t="inlineStr" s="5">
        <is>
          <t xml:space="preserve">%</t>
        </is>
      </c>
    </row>
    <row r="30">
      <c r="A30" t="inlineStr" s="5">
        <is>
          <t xml:space="preserve">Max. förderfähige Kosten</t>
        </is>
      </c>
      <c r="B30" s="7">
        <v>28000</v>
      </c>
      <c r="C30" t="inlineStr" s="5">
        <is>
          <t xml:space="preserve">€</t>
        </is>
      </c>
    </row>
  </sheetData>
  <dataValidations count="7">
    <dataValidation type="list" allowBlank="1" showErrorMessage="1" sqref="B7">
      <formula1>"Ja,Nein"</formula1>
    </dataValidation>
    <dataValidation type="list" allowBlank="1" showErrorMessage="1" sqref="B8">
      <formula1>"Ja,Nein"</formula1>
    </dataValidation>
    <dataValidation type="list" allowBlank="1" showErrorMessage="1" sqref="B9">
      <formula1>"Ja,Nein"</formula1>
    </dataValidation>
    <dataValidation type="list" allowBlank="1" showErrorMessage="1" sqref="B10">
      <formula1>"Ja,Nein"</formula1>
    </dataValidation>
    <dataValidation type="list" allowBlank="1" showErrorMessage="1" sqref="B11">
      <formula1>"Ja,Nein"</formula1>
    </dataValidation>
    <dataValidation type="list" allowBlank="1" showErrorMessage="1" sqref="B12">
      <formula1>"Ja,Nein"</formula1>
    </dataValidation>
    <dataValidation type="list" allowBlank="1" showErrorMessage="1" sqref="B13">
      <formula1>"Ja,Nein"</formula1>
    </dataValidation>
  </dataValidations>
  <pageMargins left="0.5" right="0.5" top="0.6" bottom="0.6" header="0.3" footer="0.3"/>
</worksheet>
</file>

<file path=xl/worksheets/sheet3.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Klimaanlage</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Single-Split-Geräte (Set Innen- + Außengerät)</t>
        </is>
      </c>
    </row>
    <row r="7">
      <c r="A7" t="inlineStr" s="3">
        <is>
          <t xml:space="preserve">Die Website wählt das kleinste Gerät, das für den Raum reicht, in der vom Kunden gewählten Klasse; bei gleicher Leistung das günstigste.</t>
        </is>
      </c>
    </row>
    <row r="8">
      <c r="A8" t="inlineStr" s="4">
        <is>
          <t xml:space="preserve">Aktiv</t>
        </is>
      </c>
      <c r="B8" t="inlineStr" s="4">
        <is>
          <t xml:space="preserve">Hersteller</t>
        </is>
      </c>
      <c r="C8" t="inlineStr" s="4">
        <is>
          <t xml:space="preserve">Modell</t>
        </is>
      </c>
      <c r="D8" t="inlineStr" s="4">
        <is>
          <t xml:space="preserve">Leistung (kW)</t>
        </is>
      </c>
      <c r="E8" t="inlineStr" s="4">
        <is>
          <t xml:space="preserve">Klasse</t>
        </is>
      </c>
      <c r="F8" t="inlineStr" s="4">
        <is>
          <t xml:space="preserve">Bauart</t>
        </is>
      </c>
      <c r="G8" t="inlineStr" s="4">
        <is>
          <t xml:space="preserve">Nettopreis (€)</t>
        </is>
      </c>
      <c r="H8" t="inlineStr" s="4">
        <is>
          <t xml:space="preserve">Energieklasse Kühlen</t>
        </is>
      </c>
      <c r="I8" t="inlineStr" s="4">
        <is>
          <t xml:space="preserve">Energieklasse Heizen</t>
        </is>
      </c>
      <c r="J8" t="inlineStr" s="4">
        <is>
          <t xml:space="preserve">SEER (–)</t>
        </is>
      </c>
      <c r="K8" t="inlineStr" s="4">
        <is>
          <t xml:space="preserve">SCOP (–)</t>
        </is>
      </c>
      <c r="L8" t="inlineStr" s="4">
        <is>
          <t xml:space="preserve">Schalldruck Innengerät ab (dB(A))</t>
        </is>
      </c>
      <c r="M8" t="inlineStr" s="4">
        <is>
          <t xml:space="preserve">Kältemittel</t>
        </is>
      </c>
      <c r="N8" t="inlineStr" s="4">
        <is>
          <t xml:space="preserve">Link Energielabel</t>
        </is>
      </c>
      <c r="O8" t="inlineStr" s="4">
        <is>
          <t xml:space="preserve">Link Produktdatenblatt</t>
        </is>
      </c>
      <c r="P8" t="inlineStr" s="4">
        <is>
          <t xml:space="preserve">Bruttopreis (€)</t>
        </is>
      </c>
    </row>
    <row r="9">
      <c r="A9" t="inlineStr" s="6">
        <is>
          <t xml:space="preserve">Ja</t>
        </is>
      </c>
      <c r="B9" t="inlineStr" s="6">
        <is>
          <t xml:space="preserve">Toshiba</t>
        </is>
      </c>
      <c r="C9" t="inlineStr" s="6">
        <is>
          <t xml:space="preserve">Seiya RAS-B10E2KVG-E / RAS-10E2AVG-E</t>
        </is>
      </c>
      <c r="D9" s="9">
        <v>2.5</v>
      </c>
      <c r="E9" t="inlineStr" s="6">
        <is>
          <t xml:space="preserve">Standard</t>
        </is>
      </c>
      <c r="F9" t="inlineStr" s="6">
        <is>
          <t xml:space="preserve">Wandgerät</t>
        </is>
      </c>
      <c r="G9" s="7">
        <v>990</v>
      </c>
      <c r="H9" t="inlineStr" s="6">
        <is>
          <t xml:space="preserve">A++</t>
        </is>
      </c>
      <c r="I9" t="inlineStr" s="6">
        <is>
          <t xml:space="preserve">A++</t>
        </is>
      </c>
      <c r="J9" s="9">
        <v>7</v>
      </c>
      <c r="K9" s="9">
        <v>4.6</v>
      </c>
      <c r="L9" s="9">
        <v>19</v>
      </c>
      <c r="M9" t="inlineStr" s="6">
        <is>
          <t xml:space="preserve">R32</t>
        </is>
      </c>
      <c r="N9" t="inlineStr" s="6">
        <is>
          <t xml:space="preserve"/>
        </is>
      </c>
      <c r="O9" t="inlineStr" s="6">
        <is>
          <t xml:space="preserve">https://data.toshiba-klima.at/de/Seiya%20NEW%20-%202%2C50%20kW%20-%20R32%20-%20SET120%20-%20Home%20RAS-B10E2KVG-E%20-%20RAS-10E2AVG-E%20de.pdf</t>
        </is>
      </c>
      <c r="P9" s="10">
        <f>IF(G9="","",G9*(1+'Allgemein'!$B$19))</f>
      </c>
    </row>
    <row r="10">
      <c r="A10" t="inlineStr" s="6">
        <is>
          <t xml:space="preserve">Ja</t>
        </is>
      </c>
      <c r="B10" t="inlineStr" s="6">
        <is>
          <t xml:space="preserve">Toshiba</t>
        </is>
      </c>
      <c r="C10" t="inlineStr" s="6">
        <is>
          <t xml:space="preserve">Seiya RAS-B13E2KVG-E / RAS-13E2AVG-E</t>
        </is>
      </c>
      <c r="D10" s="9">
        <v>3.3</v>
      </c>
      <c r="E10" t="inlineStr" s="6">
        <is>
          <t xml:space="preserve">Standard</t>
        </is>
      </c>
      <c r="F10" t="inlineStr" s="6">
        <is>
          <t xml:space="preserve">Wandgerät</t>
        </is>
      </c>
      <c r="G10" s="7">
        <v>1120</v>
      </c>
      <c r="H10" t="inlineStr" s="6">
        <is>
          <t xml:space="preserve">A++</t>
        </is>
      </c>
      <c r="I10" t="inlineStr" s="6">
        <is>
          <t xml:space="preserve">A++</t>
        </is>
      </c>
      <c r="J10" s="9">
        <v>7</v>
      </c>
      <c r="K10" s="9">
        <v>4.6</v>
      </c>
      <c r="L10" s="9">
        <v>20</v>
      </c>
      <c r="M10" t="inlineStr" s="6">
        <is>
          <t xml:space="preserve">R32</t>
        </is>
      </c>
      <c r="N10" t="inlineStr" s="6">
        <is>
          <t xml:space="preserve"/>
        </is>
      </c>
      <c r="O10" t="inlineStr" s="6">
        <is>
          <t xml:space="preserve">https://data.toshiba-klima.at/de/Seiya%20NEW%20-%203%2C30%20kW%20-%20R32%20-%20SET120%20-%20Home%20RAS-B13E2KVG-E%20-%20RAS-13E2AVG-E%20de.pdf</t>
        </is>
      </c>
      <c r="P10" s="10">
        <f>IF(G10="","",G10*(1+'Allgemein'!$B$19))</f>
      </c>
    </row>
    <row r="11">
      <c r="A11" t="inlineStr" s="6">
        <is>
          <t xml:space="preserve">Ja</t>
        </is>
      </c>
      <c r="B11" t="inlineStr" s="6">
        <is>
          <t xml:space="preserve">Toshiba</t>
        </is>
      </c>
      <c r="C11" t="inlineStr" s="6">
        <is>
          <t xml:space="preserve">Seiya RAS-B16E2KVG-E / RAS-16E2AVG-E</t>
        </is>
      </c>
      <c r="D11" s="9">
        <v>4.2</v>
      </c>
      <c r="E11" t="inlineStr" s="6">
        <is>
          <t xml:space="preserve">Standard</t>
        </is>
      </c>
      <c r="F11" t="inlineStr" s="6">
        <is>
          <t xml:space="preserve">Wandgerät</t>
        </is>
      </c>
      <c r="G11" s="7">
        <v>1390</v>
      </c>
      <c r="H11" t="inlineStr" s="6">
        <is>
          <t xml:space="preserve">A++</t>
        </is>
      </c>
      <c r="I11" t="inlineStr" s="6">
        <is>
          <t xml:space="preserve">A++</t>
        </is>
      </c>
      <c r="J11" s="9">
        <v>7</v>
      </c>
      <c r="K11" s="9">
        <v>4.6</v>
      </c>
      <c r="L11" s="9">
        <v>21</v>
      </c>
      <c r="M11" t="inlineStr" s="6">
        <is>
          <t xml:space="preserve">R32</t>
        </is>
      </c>
      <c r="N11" t="inlineStr" s="6">
        <is>
          <t xml:space="preserve"/>
        </is>
      </c>
      <c r="O11" t="inlineStr" s="6">
        <is>
          <t xml:space="preserve">https://data.toshiba-klima.at/de/Seiya%20NEW%20-%204%2C20%20kW%20-%20R32%20-%20SET120%20-%20Home%20RAS-B16E2KVG-E%20-%20RAS-16E2AVG-E%20de.pdf</t>
        </is>
      </c>
      <c r="P11" s="10">
        <f>IF(G11="","",G11*(1+'Allgemein'!$B$19))</f>
      </c>
    </row>
    <row r="12">
      <c r="A12" t="inlineStr" s="6">
        <is>
          <t xml:space="preserve">Ja</t>
        </is>
      </c>
      <c r="B12" t="inlineStr" s="6">
        <is>
          <t xml:space="preserve">Toshiba</t>
        </is>
      </c>
      <c r="C12" t="inlineStr" s="6">
        <is>
          <t xml:space="preserve">Seiya RAS-B18E2KVG-E / RAS-18E2AVG-E</t>
        </is>
      </c>
      <c r="D12" s="9">
        <v>5</v>
      </c>
      <c r="E12" t="inlineStr" s="6">
        <is>
          <t xml:space="preserve">Standard</t>
        </is>
      </c>
      <c r="F12" t="inlineStr" s="6">
        <is>
          <t xml:space="preserve">Wandgerät</t>
        </is>
      </c>
      <c r="G12" s="7">
        <v>1590</v>
      </c>
      <c r="H12" t="inlineStr" s="6">
        <is>
          <t xml:space="preserve">A++</t>
        </is>
      </c>
      <c r="I12" t="inlineStr" s="6">
        <is>
          <t xml:space="preserve">A+</t>
        </is>
      </c>
      <c r="J12" s="9">
        <v>7</v>
      </c>
      <c r="K12" s="9">
        <v>4.4</v>
      </c>
      <c r="L12" s="9">
        <v>26</v>
      </c>
      <c r="M12" t="inlineStr" s="6">
        <is>
          <t xml:space="preserve">R32</t>
        </is>
      </c>
      <c r="N12" t="inlineStr" s="6">
        <is>
          <t xml:space="preserve"/>
        </is>
      </c>
      <c r="O12" t="inlineStr" s="6">
        <is>
          <t xml:space="preserve">https://data.toshiba-klima.at/de/Seiya%20NEW%20-%205%2C00%20kW%20-%20R32%20-%20SET120%20-%20Home%20RAS-B18E2KVG-E%20-%20RAS-18E2AVG-E%20de.pdf</t>
        </is>
      </c>
      <c r="P12" s="10">
        <f>IF(G12="","",G12*(1+'Allgemein'!$B$19))</f>
      </c>
    </row>
    <row r="13">
      <c r="A13" t="inlineStr" s="6">
        <is>
          <t xml:space="preserve">Ja</t>
        </is>
      </c>
      <c r="B13" t="inlineStr" s="6">
        <is>
          <t xml:space="preserve">Toshiba</t>
        </is>
      </c>
      <c r="C13" t="inlineStr" s="6">
        <is>
          <t xml:space="preserve">Seiya RAS-B24E2KVG-E / RAS-24E2AVG-E</t>
        </is>
      </c>
      <c r="D13" s="9">
        <v>6.5</v>
      </c>
      <c r="E13" t="inlineStr" s="6">
        <is>
          <t xml:space="preserve">Standard</t>
        </is>
      </c>
      <c r="F13" t="inlineStr" s="6">
        <is>
          <t xml:space="preserve">Wandgerät</t>
        </is>
      </c>
      <c r="G13" s="7">
        <v>2090</v>
      </c>
      <c r="H13" t="inlineStr" s="6">
        <is>
          <t xml:space="preserve">A++</t>
        </is>
      </c>
      <c r="I13" t="inlineStr" s="6">
        <is>
          <t xml:space="preserve">A+</t>
        </is>
      </c>
      <c r="J13" s="9">
        <v>6.9</v>
      </c>
      <c r="K13" s="9">
        <v>4.3</v>
      </c>
      <c r="L13" s="9">
        <v>29</v>
      </c>
      <c r="M13" t="inlineStr" s="6">
        <is>
          <t xml:space="preserve">R32</t>
        </is>
      </c>
      <c r="N13" t="inlineStr" s="6">
        <is>
          <t xml:space="preserve"/>
        </is>
      </c>
      <c r="O13" t="inlineStr" s="6">
        <is>
          <t xml:space="preserve">https://data.toshiba-klima.at/de/Seiya%20NEW%20-%206%2C50%20kW%20-%20R32%20-%20SET120%20-%20Home%20RAS-B24E2KVG-E%20-%20RAS-24E2AVG-E%20de.pdf</t>
        </is>
      </c>
      <c r="P13" s="10">
        <f>IF(G13="","",G13*(1+'Allgemein'!$B$19))</f>
      </c>
    </row>
    <row r="14">
      <c r="A14" t="inlineStr" s="6">
        <is>
          <t xml:space="preserve">Ja</t>
        </is>
      </c>
      <c r="B14" t="inlineStr" s="6">
        <is>
          <t xml:space="preserve">Toshiba</t>
        </is>
      </c>
      <c r="C14" t="inlineStr" s="6">
        <is>
          <t xml:space="preserve">Shorai Curve RAS-B10P2KVSG-E / RAS-10P2AVSG-E</t>
        </is>
      </c>
      <c r="D14" s="9">
        <v>2.5</v>
      </c>
      <c r="E14" t="inlineStr" s="6">
        <is>
          <t xml:space="preserve">Premium</t>
        </is>
      </c>
      <c r="F14" t="inlineStr" s="6">
        <is>
          <t xml:space="preserve">Wandgerät</t>
        </is>
      </c>
      <c r="G14" s="7">
        <v>1390</v>
      </c>
      <c r="H14" t="inlineStr" s="6">
        <is>
          <t xml:space="preserve">A+++</t>
        </is>
      </c>
      <c r="I14" t="inlineStr" s="6">
        <is>
          <t xml:space="preserve">A+++</t>
        </is>
      </c>
      <c r="J14" s="9">
        <v>8.6</v>
      </c>
      <c r="K14" s="9">
        <v>5.1</v>
      </c>
      <c r="L14" s="9">
        <v>19</v>
      </c>
      <c r="M14" t="inlineStr" s="6">
        <is>
          <t xml:space="preserve">R32</t>
        </is>
      </c>
      <c r="N14" t="inlineStr" s="6">
        <is>
          <t xml:space="preserve"/>
        </is>
      </c>
      <c r="O14" t="inlineStr" s="6">
        <is>
          <t xml:space="preserve">https://data.toshiba-klima.at/de/SHORAI%20CURVE%20WHITE%20-%202%2C50%20kW%20-%20R32%20-%20SET160%20-%20Home%20RAS-B10P2KVSG-E%20-%20RAS-10P2AVSG-E%20de.pdf</t>
        </is>
      </c>
      <c r="P14" s="10">
        <f>IF(G14="","",G14*(1+'Allgemein'!$B$19))</f>
      </c>
    </row>
    <row r="15">
      <c r="A15" t="inlineStr" s="6">
        <is>
          <t xml:space="preserve">Ja</t>
        </is>
      </c>
      <c r="B15" t="inlineStr" s="6">
        <is>
          <t xml:space="preserve">Toshiba</t>
        </is>
      </c>
      <c r="C15" t="inlineStr" s="6">
        <is>
          <t xml:space="preserve">Shorai Curve RAS-B13P2KVSG-E / RAS-13P2AVSG-E</t>
        </is>
      </c>
      <c r="D15" s="9">
        <v>3.5</v>
      </c>
      <c r="E15" t="inlineStr" s="6">
        <is>
          <t xml:space="preserve">Premium</t>
        </is>
      </c>
      <c r="F15" t="inlineStr" s="6">
        <is>
          <t xml:space="preserve">Wandgerät</t>
        </is>
      </c>
      <c r="G15" s="7">
        <v>1550</v>
      </c>
      <c r="H15" t="inlineStr" s="6">
        <is>
          <t xml:space="preserve">A+++</t>
        </is>
      </c>
      <c r="I15" t="inlineStr" s="6">
        <is>
          <t xml:space="preserve">A+++</t>
        </is>
      </c>
      <c r="J15" s="9">
        <v>8.6</v>
      </c>
      <c r="K15" s="9">
        <v>5.1</v>
      </c>
      <c r="L15" s="9">
        <v>19</v>
      </c>
      <c r="M15" t="inlineStr" s="6">
        <is>
          <t xml:space="preserve">R32</t>
        </is>
      </c>
      <c r="N15" t="inlineStr" s="6">
        <is>
          <t xml:space="preserve"/>
        </is>
      </c>
      <c r="O15" t="inlineStr" s="6">
        <is>
          <t xml:space="preserve">https://data.toshiba-klima.at/de/SHORAI%20CURVE%20WHITE%20-%203%2C50%20kW%20-%20R32%20-%20SET160%20-%20Home%20RAS-B13P2KVSG-E%20-%20RAS-13P2AVSG-E%20de.pdf</t>
        </is>
      </c>
      <c r="P15" s="10">
        <f>IF(G15="","",G15*(1+'Allgemein'!$B$19))</f>
      </c>
    </row>
    <row r="16">
      <c r="A16" t="inlineStr" s="6">
        <is>
          <t xml:space="preserve">Ja</t>
        </is>
      </c>
      <c r="B16" t="inlineStr" s="6">
        <is>
          <t xml:space="preserve">Toshiba</t>
        </is>
      </c>
      <c r="C16" t="inlineStr" s="6">
        <is>
          <t xml:space="preserve">Shorai Curve RAS-B16P2KVSG-E / RAS-16P2AVSG-E</t>
        </is>
      </c>
      <c r="D16" s="9">
        <v>4.6</v>
      </c>
      <c r="E16" t="inlineStr" s="6">
        <is>
          <t xml:space="preserve">Premium</t>
        </is>
      </c>
      <c r="F16" t="inlineStr" s="6">
        <is>
          <t xml:space="preserve">Wandgerät</t>
        </is>
      </c>
      <c r="G16" s="7">
        <v>1790</v>
      </c>
      <c r="H16" t="inlineStr" s="6">
        <is>
          <t xml:space="preserve">A++</t>
        </is>
      </c>
      <c r="I16" t="inlineStr" s="6">
        <is>
          <t xml:space="preserve">A+++</t>
        </is>
      </c>
      <c r="J16" s="9">
        <v>7.8</v>
      </c>
      <c r="K16" s="9">
        <v>4.6</v>
      </c>
      <c r="L16" s="9">
        <v>22</v>
      </c>
      <c r="M16" t="inlineStr" s="6">
        <is>
          <t xml:space="preserve">R32</t>
        </is>
      </c>
      <c r="N16" t="inlineStr" s="6">
        <is>
          <t xml:space="preserve"/>
        </is>
      </c>
      <c r="O16" t="inlineStr" s="6">
        <is>
          <t xml:space="preserve">https://data.toshiba-klima.at/de/SHORAI%20CURVE%20WHITE%20-%204%2C60%20kW%20-%20R32%20-%20SET160%20-%20Home%20RAS-B16P2KVSG-E%20-%20RAS-16P2AVSG-E%20de.pdf</t>
        </is>
      </c>
      <c r="P16" s="10">
        <f>IF(G16="","",G16*(1+'Allgemein'!$B$19))</f>
      </c>
    </row>
    <row r="17">
      <c r="A17" t="inlineStr" s="6">
        <is>
          <t xml:space="preserve">Ja</t>
        </is>
      </c>
      <c r="B17" t="inlineStr" s="6">
        <is>
          <t xml:space="preserve">Toshiba</t>
        </is>
      </c>
      <c r="C17" t="inlineStr" s="6">
        <is>
          <t xml:space="preserve">Shorai Curve RAS-B18P2KVSG-E / RAS-18P2AVSG-E</t>
        </is>
      </c>
      <c r="D17" s="9">
        <v>5</v>
      </c>
      <c r="E17" t="inlineStr" s="6">
        <is>
          <t xml:space="preserve">Premium</t>
        </is>
      </c>
      <c r="F17" t="inlineStr" s="6">
        <is>
          <t xml:space="preserve">Wandgerät</t>
        </is>
      </c>
      <c r="G17" s="7">
        <v>1990</v>
      </c>
      <c r="H17" t="inlineStr" s="6">
        <is>
          <t xml:space="preserve">A++</t>
        </is>
      </c>
      <c r="I17" t="inlineStr" s="6">
        <is>
          <t xml:space="preserve">A+++</t>
        </is>
      </c>
      <c r="J17" s="9">
        <v>7.3</v>
      </c>
      <c r="K17" s="9">
        <v>4.6</v>
      </c>
      <c r="L17" s="9">
        <v>26</v>
      </c>
      <c r="M17" t="inlineStr" s="6">
        <is>
          <t xml:space="preserve">R32</t>
        </is>
      </c>
      <c r="N17" t="inlineStr" s="6">
        <is>
          <t xml:space="preserve"/>
        </is>
      </c>
      <c r="O17" t="inlineStr" s="6">
        <is>
          <t xml:space="preserve">https://data.toshiba-klima.at/de/SHORAI%20CURVE%20WHITE%20-%205%2C00%20kW%20-%20R32%20-%20SET160%20-%20Home%20RAS-B18P2KVSG-E%20-%20RAS-18P2AVSG-E%20de.pdf</t>
        </is>
      </c>
      <c r="P17" s="10">
        <f>IF(G17="","",G17*(1+'Allgemein'!$B$19))</f>
      </c>
    </row>
    <row r="18">
      <c r="A18" t="inlineStr" s="6">
        <is>
          <t xml:space="preserve">Ja</t>
        </is>
      </c>
      <c r="B18" t="inlineStr" s="6">
        <is>
          <t xml:space="preserve">Toshiba</t>
        </is>
      </c>
      <c r="C18" t="inlineStr" s="6">
        <is>
          <t xml:space="preserve">Shorai Curve RAS-B22P2KVSG-E / RAS-22P2AVSG-E</t>
        </is>
      </c>
      <c r="D18" s="9">
        <v>6.1</v>
      </c>
      <c r="E18" t="inlineStr" s="6">
        <is>
          <t xml:space="preserve">Premium</t>
        </is>
      </c>
      <c r="F18" t="inlineStr" s="6">
        <is>
          <t xml:space="preserve">Wandgerät</t>
        </is>
      </c>
      <c r="G18" s="7">
        <v>2290</v>
      </c>
      <c r="H18" t="inlineStr" s="6">
        <is>
          <t xml:space="preserve">A++</t>
        </is>
      </c>
      <c r="I18" t="inlineStr" s="6">
        <is>
          <t xml:space="preserve">A+++</t>
        </is>
      </c>
      <c r="J18" s="9">
        <v>7.3</v>
      </c>
      <c r="K18" s="9">
        <v>4.6</v>
      </c>
      <c r="L18" s="9">
        <v>27</v>
      </c>
      <c r="M18" t="inlineStr" s="6">
        <is>
          <t xml:space="preserve">R32</t>
        </is>
      </c>
      <c r="N18" t="inlineStr" s="6">
        <is>
          <t xml:space="preserve"/>
        </is>
      </c>
      <c r="O18" t="inlineStr" s="6">
        <is>
          <t xml:space="preserve">https://data.toshiba-klima.at/de/SHORAI%20CURVE%20WHITE%20-%206%2C10%20kW%20-%20R32%20-%20SET160%20-%20Home%20RAS-B22P2KVSG-E%20-%20RAS-22P2AVSG-E%20de.pdf</t>
        </is>
      </c>
      <c r="P18" s="10">
        <f>IF(G18="","",G18*(1+'Allgemein'!$B$19))</f>
      </c>
    </row>
    <row r="19">
      <c r="A19" t="inlineStr" s="6">
        <is>
          <t xml:space="preserve">Ja</t>
        </is>
      </c>
      <c r="B19" t="inlineStr" s="6">
        <is>
          <t xml:space="preserve">Toshiba</t>
        </is>
      </c>
      <c r="C19" t="inlineStr" s="6">
        <is>
          <t xml:space="preserve">Shorai Curve RAS-B24P2KVSG-E / RAS-24P2AVSG-E</t>
        </is>
      </c>
      <c r="D19" s="9">
        <v>7</v>
      </c>
      <c r="E19" t="inlineStr" s="6">
        <is>
          <t xml:space="preserve">Premium</t>
        </is>
      </c>
      <c r="F19" t="inlineStr" s="6">
        <is>
          <t xml:space="preserve">Wandgerät</t>
        </is>
      </c>
      <c r="G19" s="7">
        <v>2490</v>
      </c>
      <c r="H19" t="inlineStr" s="6">
        <is>
          <t xml:space="preserve">A++</t>
        </is>
      </c>
      <c r="I19" t="inlineStr" s="6">
        <is>
          <t xml:space="preserve">A+++</t>
        </is>
      </c>
      <c r="J19" s="9">
        <v>6.3</v>
      </c>
      <c r="K19" s="9">
        <v>4.1</v>
      </c>
      <c r="L19" s="9">
        <v>28</v>
      </c>
      <c r="M19" t="inlineStr" s="6">
        <is>
          <t xml:space="preserve">R32</t>
        </is>
      </c>
      <c r="N19" t="inlineStr" s="6">
        <is>
          <t xml:space="preserve"/>
        </is>
      </c>
      <c r="O19" t="inlineStr" s="6">
        <is>
          <t xml:space="preserve">https://data.toshiba-klima.at/de/SHORAI%20CURVE%20WHITE%20-%207%2C00%20kW%20-%20R32%20-%20SET160%20-%20Home%20RAS-B24P2KVSG-E%20-%20RAS-24P2AVSG-E%20de.pdf</t>
        </is>
      </c>
      <c r="P19" s="10">
        <f>IF(G19="","",G19*(1+'Allgemein'!$B$19))</f>
      </c>
    </row>
    <row r="20">
      <c r="A20" t="inlineStr" s="6">
        <is>
          <t xml:space="preserve">Ja</t>
        </is>
      </c>
      <c r="B20" t="inlineStr" s="6">
        <is>
          <t xml:space="preserve">Toshiba</t>
        </is>
      </c>
      <c r="C20" t="inlineStr" s="6">
        <is>
          <t xml:space="preserve">Daiseikai 10 RAS-B10S4KVPG-E / RAS-10S4AVPG-E</t>
        </is>
      </c>
      <c r="D20" s="9">
        <v>2.5</v>
      </c>
      <c r="E20" t="inlineStr" s="6">
        <is>
          <t xml:space="preserve">Premium</t>
        </is>
      </c>
      <c r="F20" t="inlineStr" s="6">
        <is>
          <t xml:space="preserve">Wandgerät</t>
        </is>
      </c>
      <c r="G20" s="7">
        <v>2190</v>
      </c>
      <c r="H20" t="inlineStr" s="6">
        <is>
          <t xml:space="preserve">A+++</t>
        </is>
      </c>
      <c r="I20" t="inlineStr" s="6">
        <is>
          <t xml:space="preserve">A+++</t>
        </is>
      </c>
      <c r="J20" s="9">
        <v>10.7</v>
      </c>
      <c r="K20" s="9">
        <v>5.3</v>
      </c>
      <c r="L20" s="9">
        <v>24</v>
      </c>
      <c r="M20" t="inlineStr" s="6">
        <is>
          <t xml:space="preserve">R32</t>
        </is>
      </c>
      <c r="N20" t="inlineStr" s="6">
        <is>
          <t xml:space="preserve"/>
        </is>
      </c>
      <c r="O20" t="inlineStr" s="6">
        <is>
          <t xml:space="preserve">https://data.toshiba-klima.at/de/Daiseikai%2010%20-%20WHITE%20-%202%2C50%20kW%20-%20R32%20-%20SET145%20-%20Home%20RAS-B10S4KVPG-E%20-%20RAS-10S4AVPG-E%20de.pdf</t>
        </is>
      </c>
      <c r="P20" s="10">
        <f>IF(G20="","",G20*(1+'Allgemein'!$B$19))</f>
      </c>
    </row>
    <row r="21">
      <c r="A21" t="inlineStr" s="6">
        <is>
          <t xml:space="preserve">Ja</t>
        </is>
      </c>
      <c r="B21" t="inlineStr" s="6">
        <is>
          <t xml:space="preserve">Toshiba</t>
        </is>
      </c>
      <c r="C21" t="inlineStr" s="6">
        <is>
          <t xml:space="preserve">Daiseikai 10 RAS-B13S4KVPG-E / RAS-13S4AVPG-E</t>
        </is>
      </c>
      <c r="D21" s="9">
        <v>3.5</v>
      </c>
      <c r="E21" t="inlineStr" s="6">
        <is>
          <t xml:space="preserve">Premium</t>
        </is>
      </c>
      <c r="F21" t="inlineStr" s="6">
        <is>
          <t xml:space="preserve">Wandgerät</t>
        </is>
      </c>
      <c r="G21" s="7">
        <v>2390</v>
      </c>
      <c r="H21" t="inlineStr" s="6">
        <is>
          <t xml:space="preserve">A+++</t>
        </is>
      </c>
      <c r="I21" t="inlineStr" s="6">
        <is>
          <t xml:space="preserve">A+++</t>
        </is>
      </c>
      <c r="J21" s="9">
        <v>9.7</v>
      </c>
      <c r="K21" s="9">
        <v>5.2</v>
      </c>
      <c r="L21" s="9">
        <v>26</v>
      </c>
      <c r="M21" t="inlineStr" s="6">
        <is>
          <t xml:space="preserve">R32</t>
        </is>
      </c>
      <c r="N21" t="inlineStr" s="6">
        <is>
          <t xml:space="preserve"/>
        </is>
      </c>
      <c r="O21" t="inlineStr" s="6">
        <is>
          <t xml:space="preserve">https://data.toshiba-klima.at/de/Daiseikai%2010%20-%20WHITE%20-%203%2C50%20kW%20-%20R32%20-%20SET145%20-%20Home%20RAS-B13S4KVPG-E%20-%20RAS-13S4AVPG-E%20de.pdf</t>
        </is>
      </c>
      <c r="P21" s="10">
        <f>IF(G21="","",G21*(1+'Allgemein'!$B$19))</f>
      </c>
    </row>
    <row r="22">
      <c r="A22" t="inlineStr" s="6">
        <is>
          <t xml:space="preserve">Ja</t>
        </is>
      </c>
      <c r="B22" t="inlineStr" s="6">
        <is>
          <t xml:space="preserve">Toshiba</t>
        </is>
      </c>
      <c r="C22" t="inlineStr" s="6">
        <is>
          <t xml:space="preserve">Daiseikai 10 RAS-B18S4KVPG-E / RAS-18S4AVPG-E</t>
        </is>
      </c>
      <c r="D22" s="9">
        <v>5</v>
      </c>
      <c r="E22" t="inlineStr" s="6">
        <is>
          <t xml:space="preserve">Premium</t>
        </is>
      </c>
      <c r="F22" t="inlineStr" s="6">
        <is>
          <t xml:space="preserve">Wandgerät</t>
        </is>
      </c>
      <c r="G22" s="7">
        <v>2890</v>
      </c>
      <c r="H22" t="inlineStr" s="6">
        <is>
          <t xml:space="preserve">A+++</t>
        </is>
      </c>
      <c r="I22" t="inlineStr" s="6">
        <is>
          <t xml:space="preserve">A++</t>
        </is>
      </c>
      <c r="J22" s="9">
        <v>8.6</v>
      </c>
      <c r="K22" s="9">
        <v>4.8</v>
      </c>
      <c r="L22" s="9">
        <v>25</v>
      </c>
      <c r="M22" t="inlineStr" s="6">
        <is>
          <t xml:space="preserve">R32</t>
        </is>
      </c>
      <c r="N22" t="inlineStr" s="6">
        <is>
          <t xml:space="preserve"/>
        </is>
      </c>
      <c r="O22" t="inlineStr" s="6">
        <is>
          <t xml:space="preserve">https://data.toshiba-klima.at/de/Daiseikai%2010%20-%20WHITE%20-%205%2C00%20kW%20-%20R32%20-%20SET145%20-%20Home%20RAS-B18S4KVPG-E%20-%20RAS-18S4AVPG-E%20de.pdf</t>
        </is>
      </c>
      <c r="P22" s="10">
        <f>IF(G22="","",G22*(1+'Allgemein'!$B$19))</f>
      </c>
    </row>
    <row r="23">
      <c r="A23" t="inlineStr" s="6">
        <is>
          <t xml:space="preserve">Ja</t>
        </is>
      </c>
      <c r="B23" t="inlineStr" s="6">
        <is>
          <t xml:space="preserve">Toshiba</t>
        </is>
      </c>
      <c r="C23" t="inlineStr" s="6">
        <is>
          <t xml:space="preserve">Seiya Classic 2 RAS-B10B2KVG-E2 / RAS-10B2AVG-E2</t>
        </is>
      </c>
      <c r="D23" s="9">
        <v>2.5</v>
      </c>
      <c r="E23" t="inlineStr" s="6">
        <is>
          <t xml:space="preserve">Standard</t>
        </is>
      </c>
      <c r="F23" t="inlineStr" s="6">
        <is>
          <t xml:space="preserve">Wandgerät</t>
        </is>
      </c>
      <c r="G23" s="7">
        <v>890</v>
      </c>
      <c r="H23" t="inlineStr" s="6">
        <is>
          <t xml:space="preserve">A++</t>
        </is>
      </c>
      <c r="I23" t="inlineStr" s="6">
        <is>
          <t xml:space="preserve">A+</t>
        </is>
      </c>
      <c r="J23" s="9">
        <v>6.1</v>
      </c>
      <c r="K23" s="9">
        <v>4</v>
      </c>
      <c r="L23" s="9">
        <v>19</v>
      </c>
      <c r="M23" t="inlineStr" s="6">
        <is>
          <t xml:space="preserve">R32</t>
        </is>
      </c>
      <c r="N23" t="inlineStr" s="6">
        <is>
          <t xml:space="preserve"/>
        </is>
      </c>
      <c r="O23" t="inlineStr" s="6">
        <is>
          <t xml:space="preserve">https://data.toshiba-klima.at/de/Seiya%20%E2%80%93%20CLASSIC%202%20-%202%2C50%20kW%20-%20R32%20-%20SET152%20-%20Home%20RAS-B10B2KVG-E2%20-%20RAS-10B2AVG-E2%20de.pdf</t>
        </is>
      </c>
      <c r="P23" s="10">
        <f>IF(G23="","",G23*(1+'Allgemein'!$B$19))</f>
      </c>
    </row>
    <row r="24">
      <c r="A24" t="inlineStr" s="6">
        <is>
          <t xml:space="preserve">Ja</t>
        </is>
      </c>
      <c r="B24" t="inlineStr" s="6">
        <is>
          <t xml:space="preserve">Toshiba</t>
        </is>
      </c>
      <c r="C24" t="inlineStr" s="6">
        <is>
          <t xml:space="preserve">Seiya Classic 2 RAS-B13B2KVG-E2 / RAS-13B2AVG-E2</t>
        </is>
      </c>
      <c r="D24" s="9">
        <v>3.3</v>
      </c>
      <c r="E24" t="inlineStr" s="6">
        <is>
          <t xml:space="preserve">Standard</t>
        </is>
      </c>
      <c r="F24" t="inlineStr" s="6">
        <is>
          <t xml:space="preserve">Wandgerät</t>
        </is>
      </c>
      <c r="G24" s="7">
        <v>990</v>
      </c>
      <c r="H24" t="inlineStr" s="6">
        <is>
          <t xml:space="preserve">A++</t>
        </is>
      </c>
      <c r="I24" t="inlineStr" s="6">
        <is>
          <t xml:space="preserve">A+</t>
        </is>
      </c>
      <c r="J24" s="9">
        <v>6.1</v>
      </c>
      <c r="K24" s="9">
        <v>4</v>
      </c>
      <c r="L24" s="9">
        <v>20</v>
      </c>
      <c r="M24" t="inlineStr" s="6">
        <is>
          <t xml:space="preserve">R32</t>
        </is>
      </c>
      <c r="N24" t="inlineStr" s="6">
        <is>
          <t xml:space="preserve"/>
        </is>
      </c>
      <c r="O24" t="inlineStr" s="6">
        <is>
          <t xml:space="preserve">https://data.toshiba-klima.at/de/Seiya%20%E2%80%93%20CLASSIC%202%20-%203%2C30%20kW%20-%20R32%20-%20SET152%20-%20Home%20RAS-B13B2KVG-E2%20-%20RAS-13B2AVG-E2%20de.pdf</t>
        </is>
      </c>
      <c r="P24" s="10">
        <f>IF(G24="","",G24*(1+'Allgemein'!$B$19))</f>
      </c>
    </row>
    <row r="25">
      <c r="A25" t="inlineStr" s="6">
        <is>
          <t xml:space="preserve">Ja</t>
        </is>
      </c>
      <c r="B25" t="inlineStr" s="6">
        <is>
          <t xml:space="preserve">Toshiba</t>
        </is>
      </c>
      <c r="C25" t="inlineStr" s="6">
        <is>
          <t xml:space="preserve">Seiya Classic 2 RAS-B16B2KVG-E2 / RAS-16B2AVG-E2</t>
        </is>
      </c>
      <c r="D25" s="9">
        <v>4.2</v>
      </c>
      <c r="E25" t="inlineStr" s="6">
        <is>
          <t xml:space="preserve">Standard</t>
        </is>
      </c>
      <c r="F25" t="inlineStr" s="6">
        <is>
          <t xml:space="preserve">Wandgerät</t>
        </is>
      </c>
      <c r="G25" s="7">
        <v>1250</v>
      </c>
      <c r="H25" t="inlineStr" s="6">
        <is>
          <t xml:space="preserve">A++</t>
        </is>
      </c>
      <c r="I25" t="inlineStr" s="6">
        <is>
          <t xml:space="preserve">A+</t>
        </is>
      </c>
      <c r="J25" s="9">
        <v>6.1</v>
      </c>
      <c r="K25" s="9">
        <v>4</v>
      </c>
      <c r="L25" s="9">
        <v>22</v>
      </c>
      <c r="M25" t="inlineStr" s="6">
        <is>
          <t xml:space="preserve">R32</t>
        </is>
      </c>
      <c r="N25" t="inlineStr" s="6">
        <is>
          <t xml:space="preserve"/>
        </is>
      </c>
      <c r="O25" t="inlineStr" s="6">
        <is>
          <t xml:space="preserve">https://data.toshiba-klima.at/de/Seiya%20%E2%80%93%20CLASSIC%202%20-%204%2C20%20kW%20-%20R32%20-%20SET152%20-%20Home%20RAS-B16B2KVG-E2%20-%20RAS-16B2AVG-E2%20de.pdf</t>
        </is>
      </c>
      <c r="P25" s="10">
        <f>IF(G25="","",G25*(1+'Allgemein'!$B$19))</f>
      </c>
    </row>
    <row r="26">
      <c r="A26" t="inlineStr" s="6">
        <is>
          <t xml:space="preserve">Ja</t>
        </is>
      </c>
      <c r="B26" t="inlineStr" s="6">
        <is>
          <t xml:space="preserve">Toshiba</t>
        </is>
      </c>
      <c r="C26" t="inlineStr" s="6">
        <is>
          <t xml:space="preserve">Seiya Classic 2 RAS-B18B2KVG-E2 / RAS-18B2AVG-E2</t>
        </is>
      </c>
      <c r="D26" s="9">
        <v>5</v>
      </c>
      <c r="E26" t="inlineStr" s="6">
        <is>
          <t xml:space="preserve">Standard</t>
        </is>
      </c>
      <c r="F26" t="inlineStr" s="6">
        <is>
          <t xml:space="preserve">Wandgerät</t>
        </is>
      </c>
      <c r="G26" s="7">
        <v>1450</v>
      </c>
      <c r="H26" t="inlineStr" s="6">
        <is>
          <t xml:space="preserve">A++</t>
        </is>
      </c>
      <c r="I26" t="inlineStr" s="6">
        <is>
          <t xml:space="preserve">A+</t>
        </is>
      </c>
      <c r="J26" s="9">
        <v>6.1</v>
      </c>
      <c r="K26" s="9">
        <v>4</v>
      </c>
      <c r="L26" s="9">
        <v>26</v>
      </c>
      <c r="M26" t="inlineStr" s="6">
        <is>
          <t xml:space="preserve">R32</t>
        </is>
      </c>
      <c r="N26" t="inlineStr" s="6">
        <is>
          <t xml:space="preserve"/>
        </is>
      </c>
      <c r="O26" t="inlineStr" s="6">
        <is>
          <t xml:space="preserve">https://data.toshiba-klima.at/de/Seiya%20%E2%80%93%20CLASSIC%202%20-%205%2C00%20kW%20-%20R32%20-%20SET152%20-%20Home%20RAS-B18B2KVG-E2%20-%20RAS-18B2AVG-E2%20de.pdf</t>
        </is>
      </c>
      <c r="P26" s="10">
        <f>IF(G26="","",G26*(1+'Allgemein'!$B$19))</f>
      </c>
    </row>
    <row r="27">
      <c r="A27" t="inlineStr" s="6">
        <is>
          <t xml:space="preserve">Ja</t>
        </is>
      </c>
      <c r="B27" t="inlineStr" s="6">
        <is>
          <t xml:space="preserve">Toshiba</t>
        </is>
      </c>
      <c r="C27" t="inlineStr" s="6">
        <is>
          <t xml:space="preserve">Seiya Classic 2 RAS-B24B2KVG-E2 / RAS-24B2AVG-E2</t>
        </is>
      </c>
      <c r="D27" s="9">
        <v>6.5</v>
      </c>
      <c r="E27" t="inlineStr" s="6">
        <is>
          <t xml:space="preserve">Standard</t>
        </is>
      </c>
      <c r="F27" t="inlineStr" s="6">
        <is>
          <t xml:space="preserve">Wandgerät</t>
        </is>
      </c>
      <c r="G27" s="7">
        <v>1890</v>
      </c>
      <c r="H27" t="inlineStr" s="6">
        <is>
          <t xml:space="preserve">A++</t>
        </is>
      </c>
      <c r="I27" t="inlineStr" s="6">
        <is>
          <t xml:space="preserve">A+</t>
        </is>
      </c>
      <c r="J27" s="9">
        <v>6.1</v>
      </c>
      <c r="K27" s="9">
        <v>4</v>
      </c>
      <c r="L27" s="9">
        <v>29</v>
      </c>
      <c r="M27" t="inlineStr" s="6">
        <is>
          <t xml:space="preserve">R32</t>
        </is>
      </c>
      <c r="N27" t="inlineStr" s="6">
        <is>
          <t xml:space="preserve"/>
        </is>
      </c>
      <c r="O27" t="inlineStr" s="6">
        <is>
          <t xml:space="preserve">https://data.toshiba-klima.at/de/Seiya%20%E2%80%93%20CLASSIC%202%20-%206%2C50%20kW%20-%20R32%20-%20SET152%20-%20Home%20RAS-B24B2KVG-E2%20-%20RAS-24B2AVG-E2%20de.pdf</t>
        </is>
      </c>
      <c r="P27" s="10">
        <f>IF(G27="","",G27*(1+'Allgemein'!$B$19))</f>
      </c>
    </row>
    <row r="28">
      <c r="A28" t="inlineStr" s="6">
        <is>
          <t xml:space="preserve">Ja</t>
        </is>
      </c>
      <c r="B28" t="inlineStr" s="6">
        <is>
          <t xml:space="preserve">Toshiba</t>
        </is>
      </c>
      <c r="C28" t="inlineStr" s="6">
        <is>
          <t xml:space="preserve">Shorai Curve Black RAS-B10P2KVSGB-E / RAS-10P2AVSG-E</t>
        </is>
      </c>
      <c r="D28" s="9">
        <v>2.5</v>
      </c>
      <c r="E28" t="inlineStr" s="6">
        <is>
          <t xml:space="preserve">Premium</t>
        </is>
      </c>
      <c r="F28" t="inlineStr" s="6">
        <is>
          <t xml:space="preserve">Wandgerät</t>
        </is>
      </c>
      <c r="G28" s="7">
        <v>1490</v>
      </c>
      <c r="H28" t="inlineStr" s="6">
        <is>
          <t xml:space="preserve">A+++</t>
        </is>
      </c>
      <c r="I28" t="inlineStr" s="6">
        <is>
          <t xml:space="preserve">A+++</t>
        </is>
      </c>
      <c r="J28" s="9">
        <v>8.6</v>
      </c>
      <c r="K28" s="9">
        <v>5.1</v>
      </c>
      <c r="L28" s="9">
        <v>19</v>
      </c>
      <c r="M28" t="inlineStr" s="6">
        <is>
          <t xml:space="preserve">R32</t>
        </is>
      </c>
      <c r="N28" t="inlineStr" s="6">
        <is>
          <t xml:space="preserve"/>
        </is>
      </c>
      <c r="O28" t="inlineStr" s="6">
        <is>
          <t xml:space="preserve">https://data.toshiba-klima.at/de/SHORAI%20CURVE%20BLACK%20-%202%2C50%20kW%20-%20R32%20-%20SET161%20-%20Home%20RAS-B10P2KVSGB-E%20-%20RAS-10P2AVSG-E%20de.pdf</t>
        </is>
      </c>
      <c r="P28" s="10">
        <f>IF(G28="","",G28*(1+'Allgemein'!$B$19))</f>
      </c>
    </row>
    <row r="29">
      <c r="A29" t="inlineStr" s="6">
        <is>
          <t xml:space="preserve">Ja</t>
        </is>
      </c>
      <c r="B29" t="inlineStr" s="6">
        <is>
          <t xml:space="preserve">Toshiba</t>
        </is>
      </c>
      <c r="C29" t="inlineStr" s="6">
        <is>
          <t xml:space="preserve">Shorai Curve Black RAS-B13P2KVSGB-E / RAS-13P2AVSG-E</t>
        </is>
      </c>
      <c r="D29" s="9">
        <v>3.5</v>
      </c>
      <c r="E29" t="inlineStr" s="6">
        <is>
          <t xml:space="preserve">Premium</t>
        </is>
      </c>
      <c r="F29" t="inlineStr" s="6">
        <is>
          <t xml:space="preserve">Wandgerät</t>
        </is>
      </c>
      <c r="G29" s="7">
        <v>1650</v>
      </c>
      <c r="H29" t="inlineStr" s="6">
        <is>
          <t xml:space="preserve">A+++</t>
        </is>
      </c>
      <c r="I29" t="inlineStr" s="6">
        <is>
          <t xml:space="preserve">A+++</t>
        </is>
      </c>
      <c r="J29" s="9">
        <v>8.6</v>
      </c>
      <c r="K29" s="9">
        <v>5.1</v>
      </c>
      <c r="L29" s="9">
        <v>19</v>
      </c>
      <c r="M29" t="inlineStr" s="6">
        <is>
          <t xml:space="preserve">R32</t>
        </is>
      </c>
      <c r="N29" t="inlineStr" s="6">
        <is>
          <t xml:space="preserve"/>
        </is>
      </c>
      <c r="O29" t="inlineStr" s="6">
        <is>
          <t xml:space="preserve">https://data.toshiba-klima.at/de/SHORAI%20CURVE%20BLACK%20-%203%2C50%20kW%20-%20R32%20-%20SET161%20-%20Home%20RAS-B13P2KVSGB-E%20-%20RAS-13P2AVSG-E%20de.pdf</t>
        </is>
      </c>
      <c r="P29" s="10">
        <f>IF(G29="","",G29*(1+'Allgemein'!$B$19))</f>
      </c>
    </row>
    <row r="30">
      <c r="A30" t="inlineStr" s="6">
        <is>
          <t xml:space="preserve">Ja</t>
        </is>
      </c>
      <c r="B30" t="inlineStr" s="6">
        <is>
          <t xml:space="preserve">Toshiba</t>
        </is>
      </c>
      <c r="C30" t="inlineStr" s="6">
        <is>
          <t xml:space="preserve">Shorai Curve Black RAS-B16P2KVSGB-E / RAS-16P2AVSG-E</t>
        </is>
      </c>
      <c r="D30" s="9">
        <v>4.6</v>
      </c>
      <c r="E30" t="inlineStr" s="6">
        <is>
          <t xml:space="preserve">Premium</t>
        </is>
      </c>
      <c r="F30" t="inlineStr" s="6">
        <is>
          <t xml:space="preserve">Wandgerät</t>
        </is>
      </c>
      <c r="G30" s="7">
        <v>1890</v>
      </c>
      <c r="H30" t="inlineStr" s="6">
        <is>
          <t xml:space="preserve">A++</t>
        </is>
      </c>
      <c r="I30" t="inlineStr" s="6">
        <is>
          <t xml:space="preserve">A+++</t>
        </is>
      </c>
      <c r="J30" s="9">
        <v>7.8</v>
      </c>
      <c r="K30" s="9">
        <v>4.6</v>
      </c>
      <c r="L30" s="9">
        <v>22</v>
      </c>
      <c r="M30" t="inlineStr" s="6">
        <is>
          <t xml:space="preserve">R32</t>
        </is>
      </c>
      <c r="N30" t="inlineStr" s="6">
        <is>
          <t xml:space="preserve"/>
        </is>
      </c>
      <c r="O30" t="inlineStr" s="6">
        <is>
          <t xml:space="preserve">https://data.toshiba-klima.at/de/SHORAI%20CURVE%20BLACK%20-%204%2C60%20kW%20-%20R32%20-%20SET161%20-%20Home%20RAS-B16P2KVSGB-E%20-%20RAS-16P2AVSG-E%20de.pdf</t>
        </is>
      </c>
      <c r="P30" s="10">
        <f>IF(G30="","",G30*(1+'Allgemein'!$B$19))</f>
      </c>
    </row>
    <row r="31">
      <c r="A31" t="inlineStr" s="6">
        <is>
          <t xml:space="preserve">Ja</t>
        </is>
      </c>
      <c r="B31" t="inlineStr" s="6">
        <is>
          <t xml:space="preserve">Toshiba</t>
        </is>
      </c>
      <c r="C31" t="inlineStr" s="6">
        <is>
          <t xml:space="preserve">Shorai Curve Black RAS-B18P2KVSGB-E / RAS-18P2AVSG-E</t>
        </is>
      </c>
      <c r="D31" s="9">
        <v>5</v>
      </c>
      <c r="E31" t="inlineStr" s="6">
        <is>
          <t xml:space="preserve">Premium</t>
        </is>
      </c>
      <c r="F31" t="inlineStr" s="6">
        <is>
          <t xml:space="preserve">Wandgerät</t>
        </is>
      </c>
      <c r="G31" s="7">
        <v>2090</v>
      </c>
      <c r="H31" t="inlineStr" s="6">
        <is>
          <t xml:space="preserve">A++</t>
        </is>
      </c>
      <c r="I31" t="inlineStr" s="6">
        <is>
          <t xml:space="preserve">A+++</t>
        </is>
      </c>
      <c r="J31" s="9">
        <v>7.3</v>
      </c>
      <c r="K31" s="9">
        <v>4.6</v>
      </c>
      <c r="L31" s="9">
        <v>26</v>
      </c>
      <c r="M31" t="inlineStr" s="6">
        <is>
          <t xml:space="preserve">R32</t>
        </is>
      </c>
      <c r="N31" t="inlineStr" s="6">
        <is>
          <t xml:space="preserve"/>
        </is>
      </c>
      <c r="O31" t="inlineStr" s="6">
        <is>
          <t xml:space="preserve">https://data.toshiba-klima.at/de/SHORAI%20CURVE%20BLACK%20-%205%2C00%20kW%20-%20R32%20-%20SET161%20-%20Home%20RAS-B18P2KVSGB-E%20-%20RAS-18P2AVSG-E%20de.pdf</t>
        </is>
      </c>
      <c r="P31" s="10">
        <f>IF(G31="","",G31*(1+'Allgemein'!$B$19))</f>
      </c>
    </row>
    <row r="32">
      <c r="A32" t="inlineStr" s="6">
        <is>
          <t xml:space="preserve">Ja</t>
        </is>
      </c>
      <c r="B32" t="inlineStr" s="6">
        <is>
          <t xml:space="preserve">Toshiba</t>
        </is>
      </c>
      <c r="C32" t="inlineStr" s="6">
        <is>
          <t xml:space="preserve">Shorai Curve Black RAS-B22P2KVSGB-E / RAS-22P2AVSG-E</t>
        </is>
      </c>
      <c r="D32" s="9">
        <v>6.1</v>
      </c>
      <c r="E32" t="inlineStr" s="6">
        <is>
          <t xml:space="preserve">Premium</t>
        </is>
      </c>
      <c r="F32" t="inlineStr" s="6">
        <is>
          <t xml:space="preserve">Wandgerät</t>
        </is>
      </c>
      <c r="G32" s="7">
        <v>2390</v>
      </c>
      <c r="H32" t="inlineStr" s="6">
        <is>
          <t xml:space="preserve">A++</t>
        </is>
      </c>
      <c r="I32" t="inlineStr" s="6">
        <is>
          <t xml:space="preserve">A+++</t>
        </is>
      </c>
      <c r="J32" s="9">
        <v>7.3</v>
      </c>
      <c r="K32" s="9">
        <v>4.6</v>
      </c>
      <c r="L32" s="9">
        <v>27</v>
      </c>
      <c r="M32" t="inlineStr" s="6">
        <is>
          <t xml:space="preserve">R32</t>
        </is>
      </c>
      <c r="N32" t="inlineStr" s="6">
        <is>
          <t xml:space="preserve"/>
        </is>
      </c>
      <c r="O32" t="inlineStr" s="6">
        <is>
          <t xml:space="preserve">https://data.toshiba-klima.at/de/SHORAI%20CURVE%20BLACK%20-%206%2C10%20kW%20-%20R32%20-%20SET161%20-%20Home%20RAS-B22P2KVSGB-E%20-%20RAS-22P2AVSG-E%20de.pdf</t>
        </is>
      </c>
      <c r="P32" s="10">
        <f>IF(G32="","",G32*(1+'Allgemein'!$B$19))</f>
      </c>
    </row>
    <row r="33">
      <c r="A33" t="inlineStr" s="6">
        <is>
          <t xml:space="preserve">Ja</t>
        </is>
      </c>
      <c r="B33" t="inlineStr" s="6">
        <is>
          <t xml:space="preserve">Toshiba</t>
        </is>
      </c>
      <c r="C33" t="inlineStr" s="6">
        <is>
          <t xml:space="preserve">Shorai Curve Black RAS-B24P2KVSGB-E / RAS-24P2AVSG-E</t>
        </is>
      </c>
      <c r="D33" s="9">
        <v>7</v>
      </c>
      <c r="E33" t="inlineStr" s="6">
        <is>
          <t xml:space="preserve">Premium</t>
        </is>
      </c>
      <c r="F33" t="inlineStr" s="6">
        <is>
          <t xml:space="preserve">Wandgerät</t>
        </is>
      </c>
      <c r="G33" s="7">
        <v>2590</v>
      </c>
      <c r="H33" t="inlineStr" s="6">
        <is>
          <t xml:space="preserve">A++</t>
        </is>
      </c>
      <c r="I33" t="inlineStr" s="6">
        <is>
          <t xml:space="preserve">A+++</t>
        </is>
      </c>
      <c r="J33" s="9">
        <v>6.3</v>
      </c>
      <c r="K33" s="9">
        <v>4.1</v>
      </c>
      <c r="L33" s="9">
        <v>28</v>
      </c>
      <c r="M33" t="inlineStr" s="6">
        <is>
          <t xml:space="preserve">R32</t>
        </is>
      </c>
      <c r="N33" t="inlineStr" s="6">
        <is>
          <t xml:space="preserve"/>
        </is>
      </c>
      <c r="O33" t="inlineStr" s="6">
        <is>
          <t xml:space="preserve">https://data.toshiba-klima.at/de/SHORAI%20CURVE%20BLACK%20-%207%2C00%20kW%20-%20R32%20-%20SET161%20-%20Home%20RAS-B24P2KVSGB-E%20-%20RAS-24P2AVSG-E%20de.pdf</t>
        </is>
      </c>
      <c r="P33" s="10">
        <f>IF(G33="","",G33*(1+'Allgemein'!$B$19))</f>
      </c>
    </row>
    <row r="34">
      <c r="A34" t="inlineStr" s="6">
        <is>
          <t xml:space="preserve">Ja</t>
        </is>
      </c>
      <c r="B34" t="inlineStr" s="6">
        <is>
          <t xml:space="preserve">Toshiba</t>
        </is>
      </c>
      <c r="C34" t="inlineStr" s="6">
        <is>
          <t xml:space="preserve">Haori RAS-B10N4KVRG-E2 / RAS-10P2AVSG-E</t>
        </is>
      </c>
      <c r="D34" s="9">
        <v>2.5</v>
      </c>
      <c r="E34" t="inlineStr" s="6">
        <is>
          <t xml:space="preserve">Premium</t>
        </is>
      </c>
      <c r="F34" t="inlineStr" s="6">
        <is>
          <t xml:space="preserve">Wandgerät</t>
        </is>
      </c>
      <c r="G34" s="7">
        <v>1690</v>
      </c>
      <c r="H34" t="inlineStr" s="6">
        <is>
          <t xml:space="preserve">A+++</t>
        </is>
      </c>
      <c r="I34" t="inlineStr" s="6">
        <is>
          <t xml:space="preserve">A+++</t>
        </is>
      </c>
      <c r="J34" s="9">
        <v>8.5</v>
      </c>
      <c r="K34" s="9">
        <v>5.1</v>
      </c>
      <c r="L34" s="9">
        <v>19</v>
      </c>
      <c r="M34" t="inlineStr" s="6">
        <is>
          <t xml:space="preserve">R32</t>
        </is>
      </c>
      <c r="N34" t="inlineStr" s="6">
        <is>
          <t xml:space="preserve"/>
        </is>
      </c>
      <c r="O34" t="inlineStr" s="6">
        <is>
          <t xml:space="preserve">https://data.toshiba-klima.at/de/HAORI%20-%202%2C50%20kW%20-%20R32%20-%20SET93%20-%20Home%20RAS-B10N4KVRG-E2%20-%20RAS-10P2AVSG-E%20de.pdf</t>
        </is>
      </c>
      <c r="P34" s="10">
        <f>IF(G34="","",G34*(1+'Allgemein'!$B$19))</f>
      </c>
    </row>
    <row r="35">
      <c r="A35" t="inlineStr" s="6">
        <is>
          <t xml:space="preserve">Ja</t>
        </is>
      </c>
      <c r="B35" t="inlineStr" s="6">
        <is>
          <t xml:space="preserve">Toshiba</t>
        </is>
      </c>
      <c r="C35" t="inlineStr" s="6">
        <is>
          <t xml:space="preserve">Haori RAS-B13N4KVRG-E1 / RAS-13P2AVSG-E</t>
        </is>
      </c>
      <c r="D35" s="9">
        <v>3.5</v>
      </c>
      <c r="E35" t="inlineStr" s="6">
        <is>
          <t xml:space="preserve">Premium</t>
        </is>
      </c>
      <c r="F35" t="inlineStr" s="6">
        <is>
          <t xml:space="preserve">Wandgerät</t>
        </is>
      </c>
      <c r="G35" s="7">
        <v>1890</v>
      </c>
      <c r="H35" t="inlineStr" s="6">
        <is>
          <t xml:space="preserve">A+++</t>
        </is>
      </c>
      <c r="I35" t="inlineStr" s="6">
        <is>
          <t xml:space="preserve">A+++</t>
        </is>
      </c>
      <c r="J35" s="9">
        <v>8.7</v>
      </c>
      <c r="K35" s="9">
        <v>5.1</v>
      </c>
      <c r="L35" s="9">
        <v>19</v>
      </c>
      <c r="M35" t="inlineStr" s="6">
        <is>
          <t xml:space="preserve">R32</t>
        </is>
      </c>
      <c r="N35" t="inlineStr" s="6">
        <is>
          <t xml:space="preserve"/>
        </is>
      </c>
      <c r="O35" t="inlineStr" s="6">
        <is>
          <t xml:space="preserve">https://data.toshiba-klima.at/de/HAORI%20-%203%2C50%20kW%20-%20R32%20-%20SET93%20-%20Home%20RAS-B13N4KVRG-E1%20-%20RAS-13P2AVSG-E%20de.pdf</t>
        </is>
      </c>
      <c r="P35" s="10">
        <f>IF(G35="","",G35*(1+'Allgemein'!$B$19))</f>
      </c>
    </row>
    <row r="36">
      <c r="A36" t="inlineStr" s="6">
        <is>
          <t xml:space="preserve">Ja</t>
        </is>
      </c>
      <c r="B36" t="inlineStr" s="6">
        <is>
          <t xml:space="preserve">Toshiba</t>
        </is>
      </c>
      <c r="C36" t="inlineStr" s="6">
        <is>
          <t xml:space="preserve">Haori RAS-B16N4KVRG-E1 / RAS-16P2AVSG-E</t>
        </is>
      </c>
      <c r="D36" s="9">
        <v>4.6</v>
      </c>
      <c r="E36" t="inlineStr" s="6">
        <is>
          <t xml:space="preserve">Premium</t>
        </is>
      </c>
      <c r="F36" t="inlineStr" s="6">
        <is>
          <t xml:space="preserve">Wandgerät</t>
        </is>
      </c>
      <c r="G36" s="7">
        <v>2190</v>
      </c>
      <c r="H36" t="inlineStr" s="6">
        <is>
          <t xml:space="preserve">A+++</t>
        </is>
      </c>
      <c r="I36" t="inlineStr" s="6">
        <is>
          <t xml:space="preserve">A+++</t>
        </is>
      </c>
      <c r="J36" s="9">
        <v>7.8</v>
      </c>
      <c r="K36" s="9">
        <v>4.6</v>
      </c>
      <c r="L36" s="9">
        <v>21</v>
      </c>
      <c r="M36" t="inlineStr" s="6">
        <is>
          <t xml:space="preserve">R32</t>
        </is>
      </c>
      <c r="N36" t="inlineStr" s="6">
        <is>
          <t xml:space="preserve"/>
        </is>
      </c>
      <c r="O36" t="inlineStr" s="6">
        <is>
          <t xml:space="preserve">https://data.toshiba-klima.at/de/HAORI%20-%204%2C60%20kW%20-%20R32%20-%20SET93%20-%20Home%20RAS-B16N4KVRG-E1%20-%20RAS-16P2AVSG-E%20de.pdf</t>
        </is>
      </c>
      <c r="P36" s="10">
        <f>IF(G36="","",G36*(1+'Allgemein'!$B$19))</f>
      </c>
    </row>
    <row r="37">
      <c r="A37" t="inlineStr" s="6">
        <is>
          <t xml:space="preserve">Ja</t>
        </is>
      </c>
      <c r="B37" t="inlineStr" s="6">
        <is>
          <t xml:space="preserve">Toshiba</t>
        </is>
      </c>
      <c r="C37" t="inlineStr" s="6">
        <is>
          <t xml:space="preserve">Daiseikai 10 Wood RAS-B10S4KVDG-E / RAS-10S4AVPG-E</t>
        </is>
      </c>
      <c r="D37" s="9">
        <v>2.5</v>
      </c>
      <c r="E37" t="inlineStr" s="6">
        <is>
          <t xml:space="preserve">Premium</t>
        </is>
      </c>
      <c r="F37" t="inlineStr" s="6">
        <is>
          <t xml:space="preserve">Wandgerät</t>
        </is>
      </c>
      <c r="G37" s="7">
        <v>2490</v>
      </c>
      <c r="H37" t="inlineStr" s="6">
        <is>
          <t xml:space="preserve">A+++</t>
        </is>
      </c>
      <c r="I37" t="inlineStr" s="6">
        <is>
          <t xml:space="preserve">A+++</t>
        </is>
      </c>
      <c r="J37" s="9">
        <v>10.7</v>
      </c>
      <c r="K37" s="9">
        <v>5.3</v>
      </c>
      <c r="L37" s="9">
        <v>24</v>
      </c>
      <c r="M37" t="inlineStr" s="6">
        <is>
          <t xml:space="preserve">R32</t>
        </is>
      </c>
      <c r="N37" t="inlineStr" s="6">
        <is>
          <t xml:space="preserve"/>
        </is>
      </c>
      <c r="O37" t="inlineStr" s="6">
        <is>
          <t xml:space="preserve">https://data.toshiba-klima.at/de/Daiseikai%2010%20-%20WOOD%20-%202%2C50%20kW%20-%20R32%20-%20SET144%20-%20Home%20RAS-B10S4KVDG-E%20-%20RAS-10S4AVPG-E%20de.pdf</t>
        </is>
      </c>
      <c r="P37" s="10">
        <f>IF(G37="","",G37*(1+'Allgemein'!$B$19))</f>
      </c>
    </row>
    <row r="38">
      <c r="A38" t="inlineStr" s="6">
        <is>
          <t xml:space="preserve">Ja</t>
        </is>
      </c>
      <c r="B38" t="inlineStr" s="6">
        <is>
          <t xml:space="preserve">Toshiba</t>
        </is>
      </c>
      <c r="C38" t="inlineStr" s="6">
        <is>
          <t xml:space="preserve">Daiseikai 10 Wood RAS-B13S4KVDG-E / RAS-13S4AVPG-E</t>
        </is>
      </c>
      <c r="D38" s="9">
        <v>3.5</v>
      </c>
      <c r="E38" t="inlineStr" s="6">
        <is>
          <t xml:space="preserve">Premium</t>
        </is>
      </c>
      <c r="F38" t="inlineStr" s="6">
        <is>
          <t xml:space="preserve">Wandgerät</t>
        </is>
      </c>
      <c r="G38" s="7">
        <v>2690</v>
      </c>
      <c r="H38" t="inlineStr" s="6">
        <is>
          <t xml:space="preserve">A+++</t>
        </is>
      </c>
      <c r="I38" t="inlineStr" s="6">
        <is>
          <t xml:space="preserve">A+++</t>
        </is>
      </c>
      <c r="J38" s="9">
        <v>9.7</v>
      </c>
      <c r="K38" s="9">
        <v>5.2</v>
      </c>
      <c r="L38" s="9">
        <v>26</v>
      </c>
      <c r="M38" t="inlineStr" s="6">
        <is>
          <t xml:space="preserve">R32</t>
        </is>
      </c>
      <c r="N38" t="inlineStr" s="6">
        <is>
          <t xml:space="preserve"/>
        </is>
      </c>
      <c r="O38" t="inlineStr" s="6">
        <is>
          <t xml:space="preserve">https://data.toshiba-klima.at/de/Daiseikai%2010%20-%20WOOD%20-%203%2C50%20kW%20-%20R32%20-%20SET144%20-%20Home%20RAS-B13S4KVDG-E%20-%20RAS-13S4AVPG-E%20de.pdf</t>
        </is>
      </c>
      <c r="P38" s="10">
        <f>IF(G38="","",G38*(1+'Allgemein'!$B$19))</f>
      </c>
    </row>
    <row r="39">
      <c r="A39" t="inlineStr" s="6">
        <is>
          <t xml:space="preserve">Ja</t>
        </is>
      </c>
      <c r="B39" t="inlineStr" s="6">
        <is>
          <t xml:space="preserve">Toshiba</t>
        </is>
      </c>
      <c r="C39" t="inlineStr" s="6">
        <is>
          <t xml:space="preserve">Daiseikai 10 Wood RAS-B18S4KVDG-E / RAS-18S4AVPG-E</t>
        </is>
      </c>
      <c r="D39" s="9">
        <v>5</v>
      </c>
      <c r="E39" t="inlineStr" s="6">
        <is>
          <t xml:space="preserve">Premium</t>
        </is>
      </c>
      <c r="F39" t="inlineStr" s="6">
        <is>
          <t xml:space="preserve">Wandgerät</t>
        </is>
      </c>
      <c r="G39" s="7">
        <v>3190</v>
      </c>
      <c r="H39" t="inlineStr" s="6">
        <is>
          <t xml:space="preserve">A+++</t>
        </is>
      </c>
      <c r="I39" t="inlineStr" s="6">
        <is>
          <t xml:space="preserve">A++</t>
        </is>
      </c>
      <c r="J39" s="9">
        <v>8.6</v>
      </c>
      <c r="K39" s="9">
        <v>4.8</v>
      </c>
      <c r="L39" s="9">
        <v>25</v>
      </c>
      <c r="M39" t="inlineStr" s="6">
        <is>
          <t xml:space="preserve">R32</t>
        </is>
      </c>
      <c r="N39" t="inlineStr" s="6">
        <is>
          <t xml:space="preserve"/>
        </is>
      </c>
      <c r="O39" t="inlineStr" s="6">
        <is>
          <t xml:space="preserve">https://data.toshiba-klima.at/de/Daiseikai%2010%20-%20WOOD%20-%205%2C00%20kW%20-%20R32%20-%20SET144%20-%20Home%20RAS-B18S4KVDG-E%20-%20RAS-18S4AVPG-E%20de.pdf</t>
        </is>
      </c>
      <c r="P39" s="10">
        <f>IF(G39="","",G39*(1+'Allgemein'!$B$19))</f>
      </c>
    </row>
    <row r="40">
      <c r="A40" t="inlineStr" s="6">
        <is>
          <t xml:space="preserve">Ja</t>
        </is>
      </c>
      <c r="B40" t="inlineStr" s="6">
        <is>
          <t xml:space="preserve">Toshiba</t>
        </is>
      </c>
      <c r="C40" t="inlineStr" s="6">
        <is>
          <t xml:space="preserve">Konsole RAS-B10J2FVG-E1 / RAS-10P2AVSG-E</t>
        </is>
      </c>
      <c r="D40" s="9">
        <v>2.5</v>
      </c>
      <c r="E40" t="inlineStr" s="6">
        <is>
          <t xml:space="preserve">Standard</t>
        </is>
      </c>
      <c r="F40" t="inlineStr" s="6">
        <is>
          <t xml:space="preserve">Truhe/Konsole</t>
        </is>
      </c>
      <c r="G40" s="7">
        <v>1490</v>
      </c>
      <c r="H40" t="inlineStr" s="6">
        <is>
          <t xml:space="preserve">A++</t>
        </is>
      </c>
      <c r="I40" t="inlineStr" s="6">
        <is>
          <t xml:space="preserve">A++</t>
        </is>
      </c>
      <c r="J40" s="9">
        <v>7.2</v>
      </c>
      <c r="K40" s="9">
        <v>4.7</v>
      </c>
      <c r="L40" s="9">
        <v>23</v>
      </c>
      <c r="M40" t="inlineStr" s="6">
        <is>
          <t xml:space="preserve">R32</t>
        </is>
      </c>
      <c r="N40" t="inlineStr" s="6">
        <is>
          <t xml:space="preserve"/>
        </is>
      </c>
      <c r="O40" t="inlineStr" s="6">
        <is>
          <t xml:space="preserve">https://data.toshiba-klima.at/de/Console%20R32_R410A%20-%20R410_R32%20-%20SET75%20-%20Home%20RAS-B10J2FVG-E1%20-%20RAS-10P2AVSG-E%20de.pdf</t>
        </is>
      </c>
      <c r="P40" s="10">
        <f>IF(G40="","",G40*(1+'Allgemein'!$B$19))</f>
      </c>
    </row>
    <row r="41">
      <c r="A41" t="inlineStr" s="6">
        <is>
          <t xml:space="preserve">Ja</t>
        </is>
      </c>
      <c r="B41" t="inlineStr" s="6">
        <is>
          <t xml:space="preserve">Toshiba</t>
        </is>
      </c>
      <c r="C41" t="inlineStr" s="6">
        <is>
          <t xml:space="preserve">Konsole RAS-B13J2FVG-E1 / RAS-13P2AVSG-E</t>
        </is>
      </c>
      <c r="D41" s="9">
        <v>3.5</v>
      </c>
      <c r="E41" t="inlineStr" s="6">
        <is>
          <t xml:space="preserve">Standard</t>
        </is>
      </c>
      <c r="F41" t="inlineStr" s="6">
        <is>
          <t xml:space="preserve">Truhe/Konsole</t>
        </is>
      </c>
      <c r="G41" s="7">
        <v>1690</v>
      </c>
      <c r="H41" t="inlineStr" s="6">
        <is>
          <t xml:space="preserve">A++</t>
        </is>
      </c>
      <c r="I41" t="inlineStr" s="6">
        <is>
          <t xml:space="preserve">A++</t>
        </is>
      </c>
      <c r="J41" s="9">
        <v>7</v>
      </c>
      <c r="K41" s="9">
        <v>4.7</v>
      </c>
      <c r="L41" s="9">
        <v>24</v>
      </c>
      <c r="M41" t="inlineStr" s="6">
        <is>
          <t xml:space="preserve">R32</t>
        </is>
      </c>
      <c r="N41" t="inlineStr" s="6">
        <is>
          <t xml:space="preserve"/>
        </is>
      </c>
      <c r="O41" t="inlineStr" s="6">
        <is>
          <t xml:space="preserve">https://www.toshiba-aircondition.com/files/aircond/img/estia/mo/deutsche-fotos-mo/HOME_RAS_Catalog_2026-2027_EN(US)_WEB.pdf#page=28</t>
        </is>
      </c>
      <c r="P41" s="10">
        <f>IF(G41="","",G41*(1+'Allgemein'!$B$19))</f>
      </c>
    </row>
    <row r="42">
      <c r="A42" t="inlineStr" s="6">
        <is>
          <t xml:space="preserve">Ja</t>
        </is>
      </c>
      <c r="B42" t="inlineStr" s="6">
        <is>
          <t xml:space="preserve">Toshiba</t>
        </is>
      </c>
      <c r="C42" t="inlineStr" s="6">
        <is>
          <t xml:space="preserve">Konsole RAS-B18J2FVG-E1 / RAS-18P2AVSG-E</t>
        </is>
      </c>
      <c r="D42" s="9">
        <v>5</v>
      </c>
      <c r="E42" t="inlineStr" s="6">
        <is>
          <t xml:space="preserve">Standard</t>
        </is>
      </c>
      <c r="F42" t="inlineStr" s="6">
        <is>
          <t xml:space="preserve">Truhe/Konsole</t>
        </is>
      </c>
      <c r="G42" s="7">
        <v>2090</v>
      </c>
      <c r="H42" t="inlineStr" s="6">
        <is>
          <t xml:space="preserve">A++</t>
        </is>
      </c>
      <c r="I42" t="inlineStr" s="6">
        <is>
          <t xml:space="preserve">A++</t>
        </is>
      </c>
      <c r="J42" s="9">
        <v>6.8</v>
      </c>
      <c r="K42" s="9">
        <v>4.6</v>
      </c>
      <c r="L42" s="9">
        <v>37</v>
      </c>
      <c r="M42" t="inlineStr" s="6">
        <is>
          <t xml:space="preserve">R32</t>
        </is>
      </c>
      <c r="N42" t="inlineStr" s="6">
        <is>
          <t xml:space="preserve"/>
        </is>
      </c>
      <c r="O42" t="inlineStr" s="6">
        <is>
          <t xml:space="preserve">https://data.toshiba-klima.at/de/Console%20R32_R410A%20-%205%2C00%20kW%20-%20R410_R32%20-%20SET75%20-%20Home%20RAS-B18J2FVG-E1%20-%20RAS-18P2AVSG-E%20de.pdf</t>
        </is>
      </c>
      <c r="P42" s="10">
        <f>IF(G42="","",G42*(1+'Allgemein'!$B$19))</f>
      </c>
    </row>
    <row r="43">
      <c r="A43" t="inlineStr" s="6">
        <is>
          <t xml:space="preserve">Ja</t>
        </is>
      </c>
      <c r="B43" t="inlineStr" s="6">
        <is>
          <t xml:space="preserve">Daikin</t>
        </is>
      </c>
      <c r="C43" t="inlineStr" s="6">
        <is>
          <t xml:space="preserve">Comfora FTXP25N / RXP25N</t>
        </is>
      </c>
      <c r="D43" s="9">
        <v>2.5</v>
      </c>
      <c r="E43" t="inlineStr" s="6">
        <is>
          <t xml:space="preserve">Standard</t>
        </is>
      </c>
      <c r="F43" t="inlineStr" s="6">
        <is>
          <t xml:space="preserve">Wandgerät</t>
        </is>
      </c>
      <c r="G43" s="7">
        <v>1150</v>
      </c>
      <c r="H43" t="inlineStr" s="6">
        <is>
          <t xml:space="preserve">A++</t>
        </is>
      </c>
      <c r="I43" t="inlineStr" s="6">
        <is>
          <t xml:space="preserve">A++</t>
        </is>
      </c>
      <c r="J43" s="9">
        <v>7.2</v>
      </c>
      <c r="K43" s="9">
        <v>4.61</v>
      </c>
      <c r="L43" s="9">
        <v>19</v>
      </c>
      <c r="M43" t="inlineStr" s="6">
        <is>
          <t xml:space="preserve">R32</t>
        </is>
      </c>
      <c r="N43" t="inlineStr" s="6">
        <is>
          <t xml:space="preserve"/>
        </is>
      </c>
      <c r="O43" t="inlineStr" s="6">
        <is>
          <t xml:space="preserve">https://www.daikin.de/de_de/produkte/product.table.html/FTXP-N9---RXP-N9.html</t>
        </is>
      </c>
      <c r="P43" s="10">
        <f>IF(G43="","",G43*(1+'Allgemein'!$B$19))</f>
      </c>
    </row>
    <row r="44">
      <c r="A44" t="inlineStr" s="6">
        <is>
          <t xml:space="preserve">Ja</t>
        </is>
      </c>
      <c r="B44" t="inlineStr" s="6">
        <is>
          <t xml:space="preserve">Daikin</t>
        </is>
      </c>
      <c r="C44" t="inlineStr" s="6">
        <is>
          <t xml:space="preserve">Comfora FTXP35N / RXP35N</t>
        </is>
      </c>
      <c r="D44" s="9">
        <v>3.5</v>
      </c>
      <c r="E44" t="inlineStr" s="6">
        <is>
          <t xml:space="preserve">Standard</t>
        </is>
      </c>
      <c r="F44" t="inlineStr" s="6">
        <is>
          <t xml:space="preserve">Wandgerät</t>
        </is>
      </c>
      <c r="G44" s="7">
        <v>1290</v>
      </c>
      <c r="H44" t="inlineStr" s="6">
        <is>
          <t xml:space="preserve">A++</t>
        </is>
      </c>
      <c r="I44" t="inlineStr" s="6">
        <is>
          <t xml:space="preserve">A++</t>
        </is>
      </c>
      <c r="J44" s="9">
        <v>7.2</v>
      </c>
      <c r="K44" s="9">
        <v>4.64</v>
      </c>
      <c r="L44" s="9">
        <v>20</v>
      </c>
      <c r="M44" t="inlineStr" s="6">
        <is>
          <t xml:space="preserve">R32</t>
        </is>
      </c>
      <c r="N44" t="inlineStr" s="6">
        <is>
          <t xml:space="preserve"/>
        </is>
      </c>
      <c r="O44" t="inlineStr" s="6">
        <is>
          <t xml:space="preserve">https://www.daikin.de/de_de/produkte/product.table.html/FTXP-N9---RXP-N9.html</t>
        </is>
      </c>
      <c r="P44" s="10">
        <f>IF(G44="","",G44*(1+'Allgemein'!$B$19))</f>
      </c>
    </row>
    <row r="45">
      <c r="A45" t="inlineStr" s="6">
        <is>
          <t xml:space="preserve">Ja</t>
        </is>
      </c>
      <c r="B45" t="inlineStr" s="6">
        <is>
          <t xml:space="preserve">Daikin</t>
        </is>
      </c>
      <c r="C45" t="inlineStr" s="6">
        <is>
          <t xml:space="preserve">Comfora FTXP50N / RXP50N</t>
        </is>
      </c>
      <c r="D45" s="9">
        <v>5</v>
      </c>
      <c r="E45" t="inlineStr" s="6">
        <is>
          <t xml:space="preserve">Standard</t>
        </is>
      </c>
      <c r="F45" t="inlineStr" s="6">
        <is>
          <t xml:space="preserve">Wandgerät</t>
        </is>
      </c>
      <c r="G45" s="7">
        <v>1790</v>
      </c>
      <c r="H45" t="inlineStr" s="6">
        <is>
          <t xml:space="preserve">A++</t>
        </is>
      </c>
      <c r="I45" t="inlineStr" s="6">
        <is>
          <t xml:space="preserve">A+</t>
        </is>
      </c>
      <c r="J45" s="9">
        <v>7.1</v>
      </c>
      <c r="K45" s="9">
        <v>4.3</v>
      </c>
      <c r="L45" s="9">
        <v>27</v>
      </c>
      <c r="M45" t="inlineStr" s="6">
        <is>
          <t xml:space="preserve">R32</t>
        </is>
      </c>
      <c r="N45" t="inlineStr" s="6">
        <is>
          <t xml:space="preserve"/>
        </is>
      </c>
      <c r="O45" t="inlineStr" s="6">
        <is>
          <t xml:space="preserve">https://www.daikin.de/de_de/produkte/product.table.html/FTXP-N9---RXP-N8.html</t>
        </is>
      </c>
      <c r="P45" s="10">
        <f>IF(G45="","",G45*(1+'Allgemein'!$B$19))</f>
      </c>
    </row>
    <row r="46">
      <c r="A46" t="inlineStr" s="6">
        <is>
          <t xml:space="preserve">Ja</t>
        </is>
      </c>
      <c r="B46" t="inlineStr" s="6">
        <is>
          <t xml:space="preserve">Daikin</t>
        </is>
      </c>
      <c r="C46" t="inlineStr" s="6">
        <is>
          <t xml:space="preserve">Perfera FTXM25A / RXM25A</t>
        </is>
      </c>
      <c r="D46" s="9">
        <v>2.5</v>
      </c>
      <c r="E46" t="inlineStr" s="6">
        <is>
          <t xml:space="preserve">Premium</t>
        </is>
      </c>
      <c r="F46" t="inlineStr" s="6">
        <is>
          <t xml:space="preserve">Wandgerät</t>
        </is>
      </c>
      <c r="G46" s="7">
        <v>1490</v>
      </c>
      <c r="H46" t="inlineStr" s="6">
        <is>
          <t xml:space="preserve">A+++</t>
        </is>
      </c>
      <c r="I46" t="inlineStr" s="6">
        <is>
          <t xml:space="preserve">A+++</t>
        </is>
      </c>
      <c r="J46" s="9">
        <v>9.47</v>
      </c>
      <c r="K46" s="9">
        <v>5.2</v>
      </c>
      <c r="L46" s="9">
        <v>19</v>
      </c>
      <c r="M46" t="inlineStr" s="6">
        <is>
          <t xml:space="preserve">R32</t>
        </is>
      </c>
      <c r="N46" t="inlineStr" s="6">
        <is>
          <t xml:space="preserve"/>
        </is>
      </c>
      <c r="O46" t="inlineStr" s="6">
        <is>
          <t xml:space="preserve">https://www.daikin.de/de_de/produkte/product.table.html/FTXM-A---RXM-A9.html</t>
        </is>
      </c>
      <c r="P46" s="10">
        <f>IF(G46="","",G46*(1+'Allgemein'!$B$19))</f>
      </c>
    </row>
    <row r="47">
      <c r="A47" t="inlineStr" s="6">
        <is>
          <t xml:space="preserve">Ja</t>
        </is>
      </c>
      <c r="B47" t="inlineStr" s="6">
        <is>
          <t xml:space="preserve">Daikin</t>
        </is>
      </c>
      <c r="C47" t="inlineStr" s="6">
        <is>
          <t xml:space="preserve">Perfera FTXM35A / RXM35A</t>
        </is>
      </c>
      <c r="D47" s="9">
        <v>3.5</v>
      </c>
      <c r="E47" t="inlineStr" s="6">
        <is>
          <t xml:space="preserve">Premium</t>
        </is>
      </c>
      <c r="F47" t="inlineStr" s="6">
        <is>
          <t xml:space="preserve">Wandgerät</t>
        </is>
      </c>
      <c r="G47" s="7">
        <v>1690</v>
      </c>
      <c r="H47" t="inlineStr" s="6">
        <is>
          <t xml:space="preserve">A+++</t>
        </is>
      </c>
      <c r="I47" t="inlineStr" s="6">
        <is>
          <t xml:space="preserve">A+++</t>
        </is>
      </c>
      <c r="J47" s="9">
        <v>9.25</v>
      </c>
      <c r="K47" s="9">
        <v>5.2</v>
      </c>
      <c r="L47" s="9">
        <v>19</v>
      </c>
      <c r="M47" t="inlineStr" s="6">
        <is>
          <t xml:space="preserve">R32</t>
        </is>
      </c>
      <c r="N47" t="inlineStr" s="6">
        <is>
          <t xml:space="preserve"/>
        </is>
      </c>
      <c r="O47" t="inlineStr" s="6">
        <is>
          <t xml:space="preserve">https://www.daikin.de/de_de/produkte/product.table.html/FTXM-A---RXM-A9.html</t>
        </is>
      </c>
      <c r="P47" s="10">
        <f>IF(G47="","",G47*(1+'Allgemein'!$B$19))</f>
      </c>
    </row>
    <row r="48">
      <c r="A48" t="inlineStr" s="6">
        <is>
          <t xml:space="preserve">Ja</t>
        </is>
      </c>
      <c r="B48" t="inlineStr" s="6">
        <is>
          <t xml:space="preserve">Daikin</t>
        </is>
      </c>
      <c r="C48" t="inlineStr" s="6">
        <is>
          <t xml:space="preserve">Perfera FTXM50A / RXM50A</t>
        </is>
      </c>
      <c r="D48" s="9">
        <v>5</v>
      </c>
      <c r="E48" t="inlineStr" s="6">
        <is>
          <t xml:space="preserve">Premium</t>
        </is>
      </c>
      <c r="F48" t="inlineStr" s="6">
        <is>
          <t xml:space="preserve">Wandgerät</t>
        </is>
      </c>
      <c r="G48" s="7">
        <v>2190</v>
      </c>
      <c r="H48" t="inlineStr" s="6">
        <is>
          <t xml:space="preserve">A++</t>
        </is>
      </c>
      <c r="I48" t="inlineStr" s="6">
        <is>
          <t xml:space="preserve">A++</t>
        </is>
      </c>
      <c r="J48" s="9">
        <v>7.8</v>
      </c>
      <c r="K48" s="9">
        <v>4.8</v>
      </c>
      <c r="L48" s="9">
        <v>27</v>
      </c>
      <c r="M48" t="inlineStr" s="6">
        <is>
          <t xml:space="preserve">R32</t>
        </is>
      </c>
      <c r="N48" t="inlineStr" s="6">
        <is>
          <t xml:space="preserve"/>
        </is>
      </c>
      <c r="O48" t="inlineStr" s="6">
        <is>
          <t xml:space="preserve">https://www.daikin.de/de_de/produkte/product.table.html/FTXM-A---RXM-A9.html</t>
        </is>
      </c>
      <c r="P48" s="10">
        <f>IF(G48="","",G48*(1+'Allgemein'!$B$19))</f>
      </c>
    </row>
    <row r="49">
      <c r="A49" t="inlineStr" s="6">
        <is>
          <t xml:space="preserve">Ja</t>
        </is>
      </c>
      <c r="B49" t="inlineStr" s="6">
        <is>
          <t xml:space="preserve">Mitsubishi Electric</t>
        </is>
      </c>
      <c r="C49" t="inlineStr" s="6">
        <is>
          <t xml:space="preserve">MSZ-AY25VGKP / MUZ-AY25VG</t>
        </is>
      </c>
      <c r="D49" s="9">
        <v>2.5</v>
      </c>
      <c r="E49" t="inlineStr" s="6">
        <is>
          <t xml:space="preserve">Standard</t>
        </is>
      </c>
      <c r="F49" t="inlineStr" s="6">
        <is>
          <t xml:space="preserve">Wandgerät</t>
        </is>
      </c>
      <c r="G49" s="7">
        <v>1150</v>
      </c>
      <c r="H49" t="inlineStr" s="6">
        <is>
          <t xml:space="preserve">A+++</t>
        </is>
      </c>
      <c r="I49" t="inlineStr" s="6">
        <is>
          <t xml:space="preserve">A++</t>
        </is>
      </c>
      <c r="J49" s="9">
        <v>8.7</v>
      </c>
      <c r="K49" s="9">
        <v>4.8</v>
      </c>
      <c r="L49" s="9">
        <v>18</v>
      </c>
      <c r="M49" t="inlineStr" s="6">
        <is>
          <t xml:space="preserve">R32</t>
        </is>
      </c>
      <c r="N49" t="inlineStr" s="6">
        <is>
          <t xml:space="preserve"/>
        </is>
      </c>
      <c r="O49" t="inlineStr" s="6">
        <is>
          <t xml:space="preserve">https://www.mitsubishi-les.com/de-de/dam-upload/daswandgeraetmszaybroschuere.pdf?rev=346288</t>
        </is>
      </c>
      <c r="P49" s="10">
        <f>IF(G49="","",G49*(1+'Allgemein'!$B$19))</f>
      </c>
    </row>
    <row r="50">
      <c r="A50" t="inlineStr" s="6">
        <is>
          <t xml:space="preserve">Ja</t>
        </is>
      </c>
      <c r="B50" t="inlineStr" s="6">
        <is>
          <t xml:space="preserve">Mitsubishi Electric</t>
        </is>
      </c>
      <c r="C50" t="inlineStr" s="6">
        <is>
          <t xml:space="preserve">MSZ-AY35VGKP / MUZ-AY35VG</t>
        </is>
      </c>
      <c r="D50" s="9">
        <v>3.5</v>
      </c>
      <c r="E50" t="inlineStr" s="6">
        <is>
          <t xml:space="preserve">Standard</t>
        </is>
      </c>
      <c r="F50" t="inlineStr" s="6">
        <is>
          <t xml:space="preserve">Wandgerät</t>
        </is>
      </c>
      <c r="G50" s="7">
        <v>1290</v>
      </c>
      <c r="H50" t="inlineStr" s="6">
        <is>
          <t xml:space="preserve">A+++</t>
        </is>
      </c>
      <c r="I50" t="inlineStr" s="6">
        <is>
          <t xml:space="preserve">A++</t>
        </is>
      </c>
      <c r="J50" s="9">
        <v>8.7</v>
      </c>
      <c r="K50" s="9">
        <v>4.7</v>
      </c>
      <c r="L50" s="9">
        <v>18</v>
      </c>
      <c r="M50" t="inlineStr" s="6">
        <is>
          <t xml:space="preserve">R32</t>
        </is>
      </c>
      <c r="N50" t="inlineStr" s="6">
        <is>
          <t xml:space="preserve"/>
        </is>
      </c>
      <c r="O50" t="inlineStr" s="6">
        <is>
          <t xml:space="preserve">https://www.mitsubishi-les.com/de-de/dam-upload/daswandgeraetmszaybroschuere.pdf?rev=346288</t>
        </is>
      </c>
      <c r="P50" s="10">
        <f>IF(G50="","",G50*(1+'Allgemein'!$B$19))</f>
      </c>
    </row>
    <row r="51">
      <c r="A51" t="inlineStr" s="6">
        <is>
          <t xml:space="preserve">Ja</t>
        </is>
      </c>
      <c r="B51" t="inlineStr" s="6">
        <is>
          <t xml:space="preserve">Mitsubishi Electric</t>
        </is>
      </c>
      <c r="C51" t="inlineStr" s="6">
        <is>
          <t xml:space="preserve">MSZ-AY42VGKP / MUZ-AY42VG</t>
        </is>
      </c>
      <c r="D51" s="9">
        <v>4.2</v>
      </c>
      <c r="E51" t="inlineStr" s="6">
        <is>
          <t xml:space="preserve">Standard</t>
        </is>
      </c>
      <c r="F51" t="inlineStr" s="6">
        <is>
          <t xml:space="preserve">Wandgerät</t>
        </is>
      </c>
      <c r="G51" s="7">
        <v>1490</v>
      </c>
      <c r="H51" t="inlineStr" s="6">
        <is>
          <t xml:space="preserve">A++</t>
        </is>
      </c>
      <c r="I51" t="inlineStr" s="6">
        <is>
          <t xml:space="preserve">A++</t>
        </is>
      </c>
      <c r="J51" s="9">
        <v>7.9</v>
      </c>
      <c r="K51" s="9">
        <v>4.7</v>
      </c>
      <c r="L51" s="9">
        <v>21</v>
      </c>
      <c r="M51" t="inlineStr" s="6">
        <is>
          <t xml:space="preserve">R32</t>
        </is>
      </c>
      <c r="N51" t="inlineStr" s="6">
        <is>
          <t xml:space="preserve"/>
        </is>
      </c>
      <c r="O51" t="inlineStr" s="6">
        <is>
          <t xml:space="preserve">https://www.mitsubishi-les.com/de-de/dam-upload/daswandgeraetmszaybroschuere.pdf?rev=346288</t>
        </is>
      </c>
      <c r="P51" s="10">
        <f>IF(G51="","",G51*(1+'Allgemein'!$B$19))</f>
      </c>
    </row>
    <row r="52">
      <c r="A52" t="inlineStr" s="6">
        <is>
          <t xml:space="preserve">Ja</t>
        </is>
      </c>
      <c r="B52" t="inlineStr" s="6">
        <is>
          <t xml:space="preserve">Mitsubishi Electric</t>
        </is>
      </c>
      <c r="C52" t="inlineStr" s="6">
        <is>
          <t xml:space="preserve">MSZ-AY50VGKP / MUZ-AY50VG</t>
        </is>
      </c>
      <c r="D52" s="9">
        <v>5</v>
      </c>
      <c r="E52" t="inlineStr" s="6">
        <is>
          <t xml:space="preserve">Standard</t>
        </is>
      </c>
      <c r="F52" t="inlineStr" s="6">
        <is>
          <t xml:space="preserve">Wandgerät</t>
        </is>
      </c>
      <c r="G52" s="7">
        <v>1750</v>
      </c>
      <c r="H52" t="inlineStr" s="6">
        <is>
          <t xml:space="preserve">A++</t>
        </is>
      </c>
      <c r="I52" t="inlineStr" s="6">
        <is>
          <t xml:space="preserve">A++</t>
        </is>
      </c>
      <c r="J52" s="9">
        <v>7.5</v>
      </c>
      <c r="K52" s="9">
        <v>4.7</v>
      </c>
      <c r="L52" s="9">
        <v>28</v>
      </c>
      <c r="M52" t="inlineStr" s="6">
        <is>
          <t xml:space="preserve">R32</t>
        </is>
      </c>
      <c r="N52" t="inlineStr" s="6">
        <is>
          <t xml:space="preserve"/>
        </is>
      </c>
      <c r="O52" t="inlineStr" s="6">
        <is>
          <t xml:space="preserve">https://www.mitsubishi-les.com/de-de/dam-upload/daswandgeraetmszaybroschuere.pdf?rev=346288</t>
        </is>
      </c>
      <c r="P52" s="10">
        <f>IF(G52="","",G52*(1+'Allgemein'!$B$19))</f>
      </c>
    </row>
    <row r="53">
      <c r="A53" t="inlineStr" s="6">
        <is>
          <t xml:space="preserve"/>
        </is>
      </c>
      <c r="B53" t="inlineStr" s="6">
        <is>
          <t xml:space="preserve"/>
        </is>
      </c>
      <c r="C53" t="inlineStr" s="6">
        <is>
          <t xml:space="preserve"/>
        </is>
      </c>
      <c r="D53" s="9"/>
      <c r="E53" t="inlineStr" s="6">
        <is>
          <t xml:space="preserve"/>
        </is>
      </c>
      <c r="F53" t="inlineStr" s="6">
        <is>
          <t xml:space="preserve"/>
        </is>
      </c>
      <c r="G53" s="7"/>
      <c r="H53" t="inlineStr" s="6">
        <is>
          <t xml:space="preserve"/>
        </is>
      </c>
      <c r="I53" t="inlineStr" s="6">
        <is>
          <t xml:space="preserve"/>
        </is>
      </c>
      <c r="J53" s="9"/>
      <c r="K53" s="9"/>
      <c r="L53" s="9"/>
      <c r="M53" t="inlineStr" s="6">
        <is>
          <t xml:space="preserve"/>
        </is>
      </c>
      <c r="N53" t="inlineStr" s="6">
        <is>
          <t xml:space="preserve"/>
        </is>
      </c>
      <c r="O53" t="inlineStr" s="6">
        <is>
          <t xml:space="preserve"/>
        </is>
      </c>
      <c r="P53" s="10">
        <f>IF(G53="","",G53*(1+'Allgemein'!$B$19))</f>
      </c>
    </row>
    <row r="54">
      <c r="A54" t="inlineStr" s="6">
        <is>
          <t xml:space="preserve"/>
        </is>
      </c>
      <c r="B54" t="inlineStr" s="6">
        <is>
          <t xml:space="preserve"/>
        </is>
      </c>
      <c r="C54" t="inlineStr" s="6">
        <is>
          <t xml:space="preserve"/>
        </is>
      </c>
      <c r="D54" s="9"/>
      <c r="E54" t="inlineStr" s="6">
        <is>
          <t xml:space="preserve"/>
        </is>
      </c>
      <c r="F54" t="inlineStr" s="6">
        <is>
          <t xml:space="preserve"/>
        </is>
      </c>
      <c r="G54" s="7"/>
      <c r="H54" t="inlineStr" s="6">
        <is>
          <t xml:space="preserve"/>
        </is>
      </c>
      <c r="I54" t="inlineStr" s="6">
        <is>
          <t xml:space="preserve"/>
        </is>
      </c>
      <c r="J54" s="9"/>
      <c r="K54" s="9"/>
      <c r="L54" s="9"/>
      <c r="M54" t="inlineStr" s="6">
        <is>
          <t xml:space="preserve"/>
        </is>
      </c>
      <c r="N54" t="inlineStr" s="6">
        <is>
          <t xml:space="preserve"/>
        </is>
      </c>
      <c r="O54" t="inlineStr" s="6">
        <is>
          <t xml:space="preserve"/>
        </is>
      </c>
      <c r="P54" s="10">
        <f>IF(G54="","",G54*(1+'Allgemein'!$B$19))</f>
      </c>
    </row>
    <row r="55">
      <c r="A55" t="inlineStr" s="6">
        <is>
          <t xml:space="preserve"/>
        </is>
      </c>
      <c r="B55" t="inlineStr" s="6">
        <is>
          <t xml:space="preserve"/>
        </is>
      </c>
      <c r="C55" t="inlineStr" s="6">
        <is>
          <t xml:space="preserve"/>
        </is>
      </c>
      <c r="D55" s="9"/>
      <c r="E55" t="inlineStr" s="6">
        <is>
          <t xml:space="preserve"/>
        </is>
      </c>
      <c r="F55" t="inlineStr" s="6">
        <is>
          <t xml:space="preserve"/>
        </is>
      </c>
      <c r="G55" s="7"/>
      <c r="H55" t="inlineStr" s="6">
        <is>
          <t xml:space="preserve"/>
        </is>
      </c>
      <c r="I55" t="inlineStr" s="6">
        <is>
          <t xml:space="preserve"/>
        </is>
      </c>
      <c r="J55" s="9"/>
      <c r="K55" s="9"/>
      <c r="L55" s="9"/>
      <c r="M55" t="inlineStr" s="6">
        <is>
          <t xml:space="preserve"/>
        </is>
      </c>
      <c r="N55" t="inlineStr" s="6">
        <is>
          <t xml:space="preserve"/>
        </is>
      </c>
      <c r="O55" t="inlineStr" s="6">
        <is>
          <t xml:space="preserve"/>
        </is>
      </c>
      <c r="P55" s="10">
        <f>IF(G55="","",G55*(1+'Allgemein'!$B$19))</f>
      </c>
    </row>
    <row r="56">
      <c r="A56" t="inlineStr" s="6">
        <is>
          <t xml:space="preserve"/>
        </is>
      </c>
      <c r="B56" t="inlineStr" s="6">
        <is>
          <t xml:space="preserve"/>
        </is>
      </c>
      <c r="C56" t="inlineStr" s="6">
        <is>
          <t xml:space="preserve"/>
        </is>
      </c>
      <c r="D56" s="9"/>
      <c r="E56" t="inlineStr" s="6">
        <is>
          <t xml:space="preserve"/>
        </is>
      </c>
      <c r="F56" t="inlineStr" s="6">
        <is>
          <t xml:space="preserve"/>
        </is>
      </c>
      <c r="G56" s="7"/>
      <c r="H56" t="inlineStr" s="6">
        <is>
          <t xml:space="preserve"/>
        </is>
      </c>
      <c r="I56" t="inlineStr" s="6">
        <is>
          <t xml:space="preserve"/>
        </is>
      </c>
      <c r="J56" s="9"/>
      <c r="K56" s="9"/>
      <c r="L56" s="9"/>
      <c r="M56" t="inlineStr" s="6">
        <is>
          <t xml:space="preserve"/>
        </is>
      </c>
      <c r="N56" t="inlineStr" s="6">
        <is>
          <t xml:space="preserve"/>
        </is>
      </c>
      <c r="O56" t="inlineStr" s="6">
        <is>
          <t xml:space="preserve"/>
        </is>
      </c>
      <c r="P56" s="10">
        <f>IF(G56="","",G56*(1+'Allgemein'!$B$19))</f>
      </c>
    </row>
    <row r="57">
      <c r="A57" t="inlineStr" s="6">
        <is>
          <t xml:space="preserve"/>
        </is>
      </c>
      <c r="B57" t="inlineStr" s="6">
        <is>
          <t xml:space="preserve"/>
        </is>
      </c>
      <c r="C57" t="inlineStr" s="6">
        <is>
          <t xml:space="preserve"/>
        </is>
      </c>
      <c r="D57" s="9"/>
      <c r="E57" t="inlineStr" s="6">
        <is>
          <t xml:space="preserve"/>
        </is>
      </c>
      <c r="F57" t="inlineStr" s="6">
        <is>
          <t xml:space="preserve"/>
        </is>
      </c>
      <c r="G57" s="7"/>
      <c r="H57" t="inlineStr" s="6">
        <is>
          <t xml:space="preserve"/>
        </is>
      </c>
      <c r="I57" t="inlineStr" s="6">
        <is>
          <t xml:space="preserve"/>
        </is>
      </c>
      <c r="J57" s="9"/>
      <c r="K57" s="9"/>
      <c r="L57" s="9"/>
      <c r="M57" t="inlineStr" s="6">
        <is>
          <t xml:space="preserve"/>
        </is>
      </c>
      <c r="N57" t="inlineStr" s="6">
        <is>
          <t xml:space="preserve"/>
        </is>
      </c>
      <c r="O57" t="inlineStr" s="6">
        <is>
          <t xml:space="preserve"/>
        </is>
      </c>
      <c r="P57" s="10">
        <f>IF(G57="","",G57*(1+'Allgemein'!$B$19))</f>
      </c>
    </row>
    <row r="58">
      <c r="A58" t="inlineStr" s="3">
        <is>
          <t xml:space="preserve">Freie gelbe Zeilen: hier neue Einträge eintragen.</t>
        </is>
      </c>
    </row>
    <row r="60">
      <c r="A60" t="inlineStr" s="2">
        <is>
          <t xml:space="preserve">Multi-Split-Innengeräte</t>
        </is>
      </c>
    </row>
    <row r="61">
      <c r="A61" t="inlineStr" s="3">
        <is>
          <t xml:space="preserve">Energieklasse und Energielabel gelten für die Kombination – sie werden beim Außengerät eingetragen.</t>
        </is>
      </c>
    </row>
    <row r="62">
      <c r="A62" t="inlineStr" s="4">
        <is>
          <t xml:space="preserve">Aktiv</t>
        </is>
      </c>
      <c r="B62" t="inlineStr" s="4">
        <is>
          <t xml:space="preserve">Hersteller</t>
        </is>
      </c>
      <c r="C62" t="inlineStr" s="4">
        <is>
          <t xml:space="preserve">Modell</t>
        </is>
      </c>
      <c r="D62" t="inlineStr" s="4">
        <is>
          <t xml:space="preserve">Leistung (kW)</t>
        </is>
      </c>
      <c r="E62" t="inlineStr" s="4">
        <is>
          <t xml:space="preserve">Klasse</t>
        </is>
      </c>
      <c r="F62" t="inlineStr" s="4">
        <is>
          <t xml:space="preserve">Bauart</t>
        </is>
      </c>
      <c r="G62" t="inlineStr" s="4">
        <is>
          <t xml:space="preserve">Nettopreis (€)</t>
        </is>
      </c>
      <c r="H62" t="inlineStr" s="4">
        <is>
          <t xml:space="preserve">Schalldruck Innengerät ab (dB(A))</t>
        </is>
      </c>
      <c r="I62" t="inlineStr" s="4">
        <is>
          <t xml:space="preserve">Kältemittel</t>
        </is>
      </c>
      <c r="J62" t="inlineStr" s="4">
        <is>
          <t xml:space="preserve">Link Produktdatenblatt</t>
        </is>
      </c>
      <c r="K62" t="inlineStr" s="4">
        <is>
          <t xml:space="preserve">Bruttopreis (€)</t>
        </is>
      </c>
    </row>
    <row r="63">
      <c r="A63" t="inlineStr" s="6">
        <is>
          <t xml:space="preserve">Ja</t>
        </is>
      </c>
      <c r="B63" t="inlineStr" s="6">
        <is>
          <t xml:space="preserve">Toshiba</t>
        </is>
      </c>
      <c r="C63" t="inlineStr" s="6">
        <is>
          <t xml:space="preserve">Seiya RAS-B10E2KVG-E (Multi)</t>
        </is>
      </c>
      <c r="D63" s="9">
        <v>2.5</v>
      </c>
      <c r="E63" t="inlineStr" s="6">
        <is>
          <t xml:space="preserve">Standard</t>
        </is>
      </c>
      <c r="F63" t="inlineStr" s="6">
        <is>
          <t xml:space="preserve">Wandgerät</t>
        </is>
      </c>
      <c r="G63" s="7">
        <v>420</v>
      </c>
      <c r="H63" s="9">
        <v>19</v>
      </c>
      <c r="I63" t="inlineStr" s="6">
        <is>
          <t xml:space="preserve">R32</t>
        </is>
      </c>
      <c r="J63" t="inlineStr" s="6">
        <is>
          <t xml:space="preserve">https://data.toshiba-klima.at/de/Seiya%20NEW%20-%202%2C50%20kW%20-%20R32%20-%20SET120%20-%20Home%20RAS-B10E2KVG-E%20-%20RAS-10E2AVG-E%20de.pdf</t>
        </is>
      </c>
      <c r="K63" s="10">
        <f>IF(G63="","",G63*(1+'Allgemein'!$B$19))</f>
      </c>
    </row>
    <row r="64">
      <c r="A64" t="inlineStr" s="6">
        <is>
          <t xml:space="preserve">Ja</t>
        </is>
      </c>
      <c r="B64" t="inlineStr" s="6">
        <is>
          <t xml:space="preserve">Toshiba</t>
        </is>
      </c>
      <c r="C64" t="inlineStr" s="6">
        <is>
          <t xml:space="preserve">Seiya RAS-B13E2KVG-E (Multi)</t>
        </is>
      </c>
      <c r="D64" s="9">
        <v>3.3</v>
      </c>
      <c r="E64" t="inlineStr" s="6">
        <is>
          <t xml:space="preserve">Standard</t>
        </is>
      </c>
      <c r="F64" t="inlineStr" s="6">
        <is>
          <t xml:space="preserve">Wandgerät</t>
        </is>
      </c>
      <c r="G64" s="7">
        <v>470</v>
      </c>
      <c r="H64" s="9">
        <v>20</v>
      </c>
      <c r="I64" t="inlineStr" s="6">
        <is>
          <t xml:space="preserve">R32</t>
        </is>
      </c>
      <c r="J64" t="inlineStr" s="6">
        <is>
          <t xml:space="preserve">https://data.toshiba-klima.at/de/Seiya%20NEW%20-%203%2C30%20kW%20-%20R32%20-%20SET120%20-%20Home%20RAS-B13E2KVG-E%20-%20RAS-13E2AVG-E%20de.pdf</t>
        </is>
      </c>
      <c r="K64" s="10">
        <f>IF(G64="","",G64*(1+'Allgemein'!$B$19))</f>
      </c>
    </row>
    <row r="65">
      <c r="A65" t="inlineStr" s="6">
        <is>
          <t xml:space="preserve">Ja</t>
        </is>
      </c>
      <c r="B65" t="inlineStr" s="6">
        <is>
          <t xml:space="preserve">Toshiba</t>
        </is>
      </c>
      <c r="C65" t="inlineStr" s="6">
        <is>
          <t xml:space="preserve">Seiya RAS-B16E2KVG-E (Multi)</t>
        </is>
      </c>
      <c r="D65" s="9">
        <v>4.2</v>
      </c>
      <c r="E65" t="inlineStr" s="6">
        <is>
          <t xml:space="preserve">Standard</t>
        </is>
      </c>
      <c r="F65" t="inlineStr" s="6">
        <is>
          <t xml:space="preserve">Wandgerät</t>
        </is>
      </c>
      <c r="G65" s="7">
        <v>560</v>
      </c>
      <c r="H65" s="9">
        <v>21</v>
      </c>
      <c r="I65" t="inlineStr" s="6">
        <is>
          <t xml:space="preserve">R32</t>
        </is>
      </c>
      <c r="J65" t="inlineStr" s="6">
        <is>
          <t xml:space="preserve">https://data.toshiba-klima.at/de/Seiya%20NEW%20-%204%2C20%20kW%20-%20R32%20-%20SET120%20-%20Home%20RAS-B16E2KVG-E%20-%20RAS-16E2AVG-E%20de.pdf</t>
        </is>
      </c>
      <c r="K65" s="10">
        <f>IF(G65="","",G65*(1+'Allgemein'!$B$19))</f>
      </c>
    </row>
    <row r="66">
      <c r="A66" t="inlineStr" s="6">
        <is>
          <t xml:space="preserve">Ja</t>
        </is>
      </c>
      <c r="B66" t="inlineStr" s="6">
        <is>
          <t xml:space="preserve">Toshiba</t>
        </is>
      </c>
      <c r="C66" t="inlineStr" s="6">
        <is>
          <t xml:space="preserve">Shorai Curve RAS-M05P2KVSG-E (Multi)</t>
        </is>
      </c>
      <c r="D66" s="9">
        <v>1.5</v>
      </c>
      <c r="E66" t="inlineStr" s="6">
        <is>
          <t xml:space="preserve">Premium</t>
        </is>
      </c>
      <c r="F66" t="inlineStr" s="6">
        <is>
          <t xml:space="preserve">Wandgerät</t>
        </is>
      </c>
      <c r="G66" s="7">
        <v>540</v>
      </c>
      <c r="H66" s="9">
        <v>22</v>
      </c>
      <c r="I66" t="inlineStr" s="6">
        <is>
          <t xml:space="preserve">R32</t>
        </is>
      </c>
      <c r="J66" t="inlineStr" s="6">
        <is>
          <t xml:space="preserve">https://data.toshiba-klima.at/de/SHORAI%20CURVE%20WHITE%20-%201%2C50%20kW%20-%20R32%20-%20Home%20RAS-M05P2KVSG-E%20de.pdf</t>
        </is>
      </c>
      <c r="K66" s="10">
        <f>IF(G66="","",G66*(1+'Allgemein'!$B$19))</f>
      </c>
    </row>
    <row r="67">
      <c r="A67" t="inlineStr" s="6">
        <is>
          <t xml:space="preserve">Ja</t>
        </is>
      </c>
      <c r="B67" t="inlineStr" s="6">
        <is>
          <t xml:space="preserve">Toshiba</t>
        </is>
      </c>
      <c r="C67" t="inlineStr" s="6">
        <is>
          <t xml:space="preserve">Shorai Curve RAS-B10P2KVSG-E (Multi)</t>
        </is>
      </c>
      <c r="D67" s="9">
        <v>2.5</v>
      </c>
      <c r="E67" t="inlineStr" s="6">
        <is>
          <t xml:space="preserve">Premium</t>
        </is>
      </c>
      <c r="F67" t="inlineStr" s="6">
        <is>
          <t xml:space="preserve">Wandgerät</t>
        </is>
      </c>
      <c r="G67" s="7">
        <v>590</v>
      </c>
      <c r="H67" s="9">
        <v>19</v>
      </c>
      <c r="I67" t="inlineStr" s="6">
        <is>
          <t xml:space="preserve">R32</t>
        </is>
      </c>
      <c r="J67" t="inlineStr" s="6">
        <is>
          <t xml:space="preserve">https://data.toshiba-klima.at/de/SHORAI%20CURVE%20WHITE%20-%202%2C50%20kW%20-%20R32%20-%20SET160%20-%20Home%20RAS-B10P2KVSG-E%20-%20RAS-10P2AVSG-E%20de.pdf</t>
        </is>
      </c>
      <c r="K67" s="10">
        <f>IF(G67="","",G67*(1+'Allgemein'!$B$19))</f>
      </c>
    </row>
    <row r="68">
      <c r="A68" t="inlineStr" s="6">
        <is>
          <t xml:space="preserve">Ja</t>
        </is>
      </c>
      <c r="B68" t="inlineStr" s="6">
        <is>
          <t xml:space="preserve">Toshiba</t>
        </is>
      </c>
      <c r="C68" t="inlineStr" s="6">
        <is>
          <t xml:space="preserve">Shorai Curve RAS-B13P2KVSG-E (Multi)</t>
        </is>
      </c>
      <c r="D68" s="9">
        <v>3.5</v>
      </c>
      <c r="E68" t="inlineStr" s="6">
        <is>
          <t xml:space="preserve">Premium</t>
        </is>
      </c>
      <c r="F68" t="inlineStr" s="6">
        <is>
          <t xml:space="preserve">Wandgerät</t>
        </is>
      </c>
      <c r="G68" s="7">
        <v>660</v>
      </c>
      <c r="H68" s="9">
        <v>19</v>
      </c>
      <c r="I68" t="inlineStr" s="6">
        <is>
          <t xml:space="preserve">R32</t>
        </is>
      </c>
      <c r="J68" t="inlineStr" s="6">
        <is>
          <t xml:space="preserve">https://data.toshiba-klima.at/de/SHORAI%20CURVE%20WHITE%20-%203%2C50%20kW%20-%20R32%20-%20SET160%20-%20Home%20RAS-B13P2KVSG-E%20-%20RAS-13P2AVSG-E%20de.pdf</t>
        </is>
      </c>
      <c r="K68" s="10">
        <f>IF(G68="","",G68*(1+'Allgemein'!$B$19))</f>
      </c>
    </row>
    <row r="69">
      <c r="A69" t="inlineStr" s="6">
        <is>
          <t xml:space="preserve">Ja</t>
        </is>
      </c>
      <c r="B69" t="inlineStr" s="6">
        <is>
          <t xml:space="preserve">Toshiba</t>
        </is>
      </c>
      <c r="C69" t="inlineStr" s="6">
        <is>
          <t xml:space="preserve">Shorai Curve RAS-B16P2KVSG-E (Multi)</t>
        </is>
      </c>
      <c r="D69" s="9">
        <v>4.6</v>
      </c>
      <c r="E69" t="inlineStr" s="6">
        <is>
          <t xml:space="preserve">Premium</t>
        </is>
      </c>
      <c r="F69" t="inlineStr" s="6">
        <is>
          <t xml:space="preserve">Wandgerät</t>
        </is>
      </c>
      <c r="G69" s="7">
        <v>760</v>
      </c>
      <c r="H69" s="9">
        <v>22</v>
      </c>
      <c r="I69" t="inlineStr" s="6">
        <is>
          <t xml:space="preserve">R32</t>
        </is>
      </c>
      <c r="J69" t="inlineStr" s="6">
        <is>
          <t xml:space="preserve">https://data.toshiba-klima.at/de/SHORAI%20CURVE%20WHITE%20-%204%2C60%20kW%20-%20R32%20-%20SET160%20-%20Home%20RAS-B16P2KVSG-E%20-%20RAS-16P2AVSG-E%20de.pdf</t>
        </is>
      </c>
      <c r="K69" s="10">
        <f>IF(G69="","",G69*(1+'Allgemein'!$B$19))</f>
      </c>
    </row>
    <row r="70">
      <c r="A70" t="inlineStr" s="6">
        <is>
          <t xml:space="preserve">Ja</t>
        </is>
      </c>
      <c r="B70" t="inlineStr" s="6">
        <is>
          <t xml:space="preserve">Toshiba</t>
        </is>
      </c>
      <c r="C70" t="inlineStr" s="6">
        <is>
          <t xml:space="preserve">Seiya Classic 2 RAS-B05B2KVG-E2 (Multi)</t>
        </is>
      </c>
      <c r="D70" s="9">
        <v>1.5</v>
      </c>
      <c r="E70" t="inlineStr" s="6">
        <is>
          <t xml:space="preserve">Standard</t>
        </is>
      </c>
      <c r="F70" t="inlineStr" s="6">
        <is>
          <t xml:space="preserve">Wandgerät</t>
        </is>
      </c>
      <c r="G70" s="7">
        <v>340</v>
      </c>
      <c r="H70" s="9">
        <v>19</v>
      </c>
      <c r="I70" t="inlineStr" s="6">
        <is>
          <t xml:space="preserve">R32</t>
        </is>
      </c>
      <c r="J70" t="inlineStr" s="6">
        <is>
          <t xml:space="preserve">https://www.toshiba-aircondition.com/files/aircond/img/estia/mo/deutsche-fotos-mo/HOME_RAS_Catalog_2026-2027_EN(US)_WEB.pdf#page=14</t>
        </is>
      </c>
      <c r="K70" s="10">
        <f>IF(G70="","",G70*(1+'Allgemein'!$B$19))</f>
      </c>
    </row>
    <row r="71">
      <c r="A71" t="inlineStr" s="6">
        <is>
          <t xml:space="preserve">Ja</t>
        </is>
      </c>
      <c r="B71" t="inlineStr" s="6">
        <is>
          <t xml:space="preserve">Toshiba</t>
        </is>
      </c>
      <c r="C71" t="inlineStr" s="6">
        <is>
          <t xml:space="preserve">Seiya Classic 2 RAS-B10B2KVG-E2 (Multi)</t>
        </is>
      </c>
      <c r="D71" s="9">
        <v>2.5</v>
      </c>
      <c r="E71" t="inlineStr" s="6">
        <is>
          <t xml:space="preserve">Standard</t>
        </is>
      </c>
      <c r="F71" t="inlineStr" s="6">
        <is>
          <t xml:space="preserve">Wandgerät</t>
        </is>
      </c>
      <c r="G71" s="7">
        <v>370</v>
      </c>
      <c r="H71" s="9">
        <v>19</v>
      </c>
      <c r="I71" t="inlineStr" s="6">
        <is>
          <t xml:space="preserve">R32</t>
        </is>
      </c>
      <c r="J71" t="inlineStr" s="6">
        <is>
          <t xml:space="preserve">https://www.toshiba-aircondition.com/files/aircond/img/estia/mo/deutsche-fotos-mo/HOME_RAS_Catalog_2026-2027_EN(US)_WEB.pdf#page=14</t>
        </is>
      </c>
      <c r="K71" s="10">
        <f>IF(G71="","",G71*(1+'Allgemein'!$B$19))</f>
      </c>
    </row>
    <row r="72">
      <c r="A72" t="inlineStr" s="6">
        <is>
          <t xml:space="preserve">Ja</t>
        </is>
      </c>
      <c r="B72" t="inlineStr" s="6">
        <is>
          <t xml:space="preserve">Toshiba</t>
        </is>
      </c>
      <c r="C72" t="inlineStr" s="6">
        <is>
          <t xml:space="preserve">Seiya Classic 2 RAS-B13B2KVG-E2 (Multi)</t>
        </is>
      </c>
      <c r="D72" s="9">
        <v>3.3</v>
      </c>
      <c r="E72" t="inlineStr" s="6">
        <is>
          <t xml:space="preserve">Standard</t>
        </is>
      </c>
      <c r="F72" t="inlineStr" s="6">
        <is>
          <t xml:space="preserve">Wandgerät</t>
        </is>
      </c>
      <c r="G72" s="7">
        <v>410</v>
      </c>
      <c r="H72" s="9">
        <v>20</v>
      </c>
      <c r="I72" t="inlineStr" s="6">
        <is>
          <t xml:space="preserve">R32</t>
        </is>
      </c>
      <c r="J72" t="inlineStr" s="6">
        <is>
          <t xml:space="preserve">https://www.toshiba-aircondition.com/files/aircond/img/estia/mo/deutsche-fotos-mo/HOME_RAS_Catalog_2026-2027_EN(US)_WEB.pdf#page=14</t>
        </is>
      </c>
      <c r="K72" s="10">
        <f>IF(G72="","",G72*(1+'Allgemein'!$B$19))</f>
      </c>
    </row>
    <row r="73">
      <c r="A73" t="inlineStr" s="6">
        <is>
          <t xml:space="preserve">Ja</t>
        </is>
      </c>
      <c r="B73" t="inlineStr" s="6">
        <is>
          <t xml:space="preserve">Toshiba</t>
        </is>
      </c>
      <c r="C73" t="inlineStr" s="6">
        <is>
          <t xml:space="preserve">Seiya Classic 2 RAS-B16B2KVG-E2 (Multi)</t>
        </is>
      </c>
      <c r="D73" s="9">
        <v>4.2</v>
      </c>
      <c r="E73" t="inlineStr" s="6">
        <is>
          <t xml:space="preserve">Standard</t>
        </is>
      </c>
      <c r="F73" t="inlineStr" s="6">
        <is>
          <t xml:space="preserve">Wandgerät</t>
        </is>
      </c>
      <c r="G73" s="7">
        <v>490</v>
      </c>
      <c r="H73" s="9">
        <v>22</v>
      </c>
      <c r="I73" t="inlineStr" s="6">
        <is>
          <t xml:space="preserve">R32</t>
        </is>
      </c>
      <c r="J73" t="inlineStr" s="6">
        <is>
          <t xml:space="preserve">https://www.toshiba-aircondition.com/files/aircond/img/estia/mo/deutsche-fotos-mo/HOME_RAS_Catalog_2026-2027_EN(US)_WEB.pdf#page=14</t>
        </is>
      </c>
      <c r="K73" s="10">
        <f>IF(G73="","",G73*(1+'Allgemein'!$B$19))</f>
      </c>
    </row>
    <row r="74">
      <c r="A74" t="inlineStr" s="6">
        <is>
          <t xml:space="preserve">Ja</t>
        </is>
      </c>
      <c r="B74" t="inlineStr" s="6">
        <is>
          <t xml:space="preserve">Toshiba</t>
        </is>
      </c>
      <c r="C74" t="inlineStr" s="6">
        <is>
          <t xml:space="preserve">Seiya Classic 2 RAS-B18B2KVG-E2 (Multi)</t>
        </is>
      </c>
      <c r="D74" s="9">
        <v>5</v>
      </c>
      <c r="E74" t="inlineStr" s="6">
        <is>
          <t xml:space="preserve">Standard</t>
        </is>
      </c>
      <c r="F74" t="inlineStr" s="6">
        <is>
          <t xml:space="preserve">Wandgerät</t>
        </is>
      </c>
      <c r="G74" s="7">
        <v>560</v>
      </c>
      <c r="H74" s="9">
        <v>26</v>
      </c>
      <c r="I74" t="inlineStr" s="6">
        <is>
          <t xml:space="preserve">R32</t>
        </is>
      </c>
      <c r="J74" t="inlineStr" s="6">
        <is>
          <t xml:space="preserve">https://www.toshiba-aircondition.com/files/aircond/img/estia/mo/deutsche-fotos-mo/HOME_RAS_Catalog_2026-2027_EN(US)_WEB.pdf#page=14</t>
        </is>
      </c>
      <c r="K74" s="10">
        <f>IF(G74="","",G74*(1+'Allgemein'!$B$19))</f>
      </c>
    </row>
    <row r="75">
      <c r="A75" t="inlineStr" s="6">
        <is>
          <t xml:space="preserve">Ja</t>
        </is>
      </c>
      <c r="B75" t="inlineStr" s="6">
        <is>
          <t xml:space="preserve">Toshiba</t>
        </is>
      </c>
      <c r="C75" t="inlineStr" s="6">
        <is>
          <t xml:space="preserve">Seiya Classic 2 RAS-B24B2KVG-E2 (Multi)</t>
        </is>
      </c>
      <c r="D75" s="9">
        <v>6.5</v>
      </c>
      <c r="E75" t="inlineStr" s="6">
        <is>
          <t xml:space="preserve">Standard</t>
        </is>
      </c>
      <c r="F75" t="inlineStr" s="6">
        <is>
          <t xml:space="preserve">Wandgerät</t>
        </is>
      </c>
      <c r="G75" s="7">
        <v>690</v>
      </c>
      <c r="H75" s="9">
        <v>29</v>
      </c>
      <c r="I75" t="inlineStr" s="6">
        <is>
          <t xml:space="preserve">R32</t>
        </is>
      </c>
      <c r="J75" t="inlineStr" s="6">
        <is>
          <t xml:space="preserve">https://www.toshiba-aircondition.com/files/aircond/img/estia/mo/deutsche-fotos-mo/HOME_RAS_Catalog_2026-2027_EN(US)_WEB.pdf#page=14</t>
        </is>
      </c>
      <c r="K75" s="10">
        <f>IF(G75="","",G75*(1+'Allgemein'!$B$19))</f>
      </c>
    </row>
    <row r="76">
      <c r="A76" t="inlineStr" s="6">
        <is>
          <t xml:space="preserve">Ja</t>
        </is>
      </c>
      <c r="B76" t="inlineStr" s="6">
        <is>
          <t xml:space="preserve">Toshiba</t>
        </is>
      </c>
      <c r="C76" t="inlineStr" s="6">
        <is>
          <t xml:space="preserve">Seiya RAS-B05E2KVG-E (Multi)</t>
        </is>
      </c>
      <c r="D76" s="9">
        <v>1.5</v>
      </c>
      <c r="E76" t="inlineStr" s="6">
        <is>
          <t xml:space="preserve">Standard</t>
        </is>
      </c>
      <c r="F76" t="inlineStr" s="6">
        <is>
          <t xml:space="preserve">Wandgerät</t>
        </is>
      </c>
      <c r="G76" s="7">
        <v>380</v>
      </c>
      <c r="H76" s="9">
        <v>19</v>
      </c>
      <c r="I76" t="inlineStr" s="6">
        <is>
          <t xml:space="preserve">R32</t>
        </is>
      </c>
      <c r="J76" t="inlineStr" s="6">
        <is>
          <t xml:space="preserve">https://www.toshiba-aircondition.com/files/aircond/img/estia/mo/deutsche-fotos-mo/HOME_RAS_Catalog_2026-2027_EN(US)_WEB.pdf#page=16</t>
        </is>
      </c>
      <c r="K76" s="10">
        <f>IF(G76="","",G76*(1+'Allgemein'!$B$19))</f>
      </c>
    </row>
    <row r="77">
      <c r="A77" t="inlineStr" s="6">
        <is>
          <t xml:space="preserve">Ja</t>
        </is>
      </c>
      <c r="B77" t="inlineStr" s="6">
        <is>
          <t xml:space="preserve">Toshiba</t>
        </is>
      </c>
      <c r="C77" t="inlineStr" s="6">
        <is>
          <t xml:space="preserve">Seiya RAS-B18E2KVG-E (Multi)</t>
        </is>
      </c>
      <c r="D77" s="9">
        <v>5</v>
      </c>
      <c r="E77" t="inlineStr" s="6">
        <is>
          <t xml:space="preserve">Standard</t>
        </is>
      </c>
      <c r="F77" t="inlineStr" s="6">
        <is>
          <t xml:space="preserve">Wandgerät</t>
        </is>
      </c>
      <c r="G77" s="7">
        <v>620</v>
      </c>
      <c r="H77" s="9">
        <v>26</v>
      </c>
      <c r="I77" t="inlineStr" s="6">
        <is>
          <t xml:space="preserve">R32</t>
        </is>
      </c>
      <c r="J77" t="inlineStr" s="6">
        <is>
          <t xml:space="preserve">https://www.toshiba-aircondition.com/files/aircond/img/estia/mo/deutsche-fotos-mo/HOME_RAS_Catalog_2026-2027_EN(US)_WEB.pdf#page=16</t>
        </is>
      </c>
      <c r="K77" s="10">
        <f>IF(G77="","",G77*(1+'Allgemein'!$B$19))</f>
      </c>
    </row>
    <row r="78">
      <c r="A78" t="inlineStr" s="6">
        <is>
          <t xml:space="preserve">Ja</t>
        </is>
      </c>
      <c r="B78" t="inlineStr" s="6">
        <is>
          <t xml:space="preserve">Toshiba</t>
        </is>
      </c>
      <c r="C78" t="inlineStr" s="6">
        <is>
          <t xml:space="preserve">Seiya RAS-B24E2KVG-E (Multi)</t>
        </is>
      </c>
      <c r="D78" s="9">
        <v>6.5</v>
      </c>
      <c r="E78" t="inlineStr" s="6">
        <is>
          <t xml:space="preserve">Standard</t>
        </is>
      </c>
      <c r="F78" t="inlineStr" s="6">
        <is>
          <t xml:space="preserve">Wandgerät</t>
        </is>
      </c>
      <c r="G78" s="7">
        <v>740</v>
      </c>
      <c r="H78" s="9">
        <v>29</v>
      </c>
      <c r="I78" t="inlineStr" s="6">
        <is>
          <t xml:space="preserve">R32</t>
        </is>
      </c>
      <c r="J78" t="inlineStr" s="6">
        <is>
          <t xml:space="preserve">https://www.toshiba-aircondition.com/files/aircond/img/estia/mo/deutsche-fotos-mo/HOME_RAS_Catalog_2026-2027_EN(US)_WEB.pdf#page=16</t>
        </is>
      </c>
      <c r="K78" s="10">
        <f>IF(G78="","",G78*(1+'Allgemein'!$B$19))</f>
      </c>
    </row>
    <row r="79">
      <c r="A79" t="inlineStr" s="6">
        <is>
          <t xml:space="preserve">Ja</t>
        </is>
      </c>
      <c r="B79" t="inlineStr" s="6">
        <is>
          <t xml:space="preserve">Toshiba</t>
        </is>
      </c>
      <c r="C79" t="inlineStr" s="6">
        <is>
          <t xml:space="preserve">Shorai Curve RAS-B18P2KVSG-E (Multi)</t>
        </is>
      </c>
      <c r="D79" s="9">
        <v>5</v>
      </c>
      <c r="E79" t="inlineStr" s="6">
        <is>
          <t xml:space="preserve">Premium</t>
        </is>
      </c>
      <c r="F79" t="inlineStr" s="6">
        <is>
          <t xml:space="preserve">Wandgerät</t>
        </is>
      </c>
      <c r="G79" s="7">
        <v>860</v>
      </c>
      <c r="H79" s="9">
        <v>26</v>
      </c>
      <c r="I79" t="inlineStr" s="6">
        <is>
          <t xml:space="preserve">R32</t>
        </is>
      </c>
      <c r="J79" t="inlineStr" s="6">
        <is>
          <t xml:space="preserve">https://www.toshiba-aircondition.com/files/aircond/img/estia/mo/deutsche-fotos-mo/HOME_RAS_Catalog_2026-2027_EN(US)_WEB.pdf#page=18</t>
        </is>
      </c>
      <c r="K79" s="10">
        <f>IF(G79="","",G79*(1+'Allgemein'!$B$19))</f>
      </c>
    </row>
    <row r="80">
      <c r="A80" t="inlineStr" s="6">
        <is>
          <t xml:space="preserve">Ja</t>
        </is>
      </c>
      <c r="B80" t="inlineStr" s="6">
        <is>
          <t xml:space="preserve">Toshiba</t>
        </is>
      </c>
      <c r="C80" t="inlineStr" s="6">
        <is>
          <t xml:space="preserve">Shorai Curve RAS-B22P2KVSG-E (Multi)</t>
        </is>
      </c>
      <c r="D80" s="9">
        <v>6.1</v>
      </c>
      <c r="E80" t="inlineStr" s="6">
        <is>
          <t xml:space="preserve">Premium</t>
        </is>
      </c>
      <c r="F80" t="inlineStr" s="6">
        <is>
          <t xml:space="preserve">Wandgerät</t>
        </is>
      </c>
      <c r="G80" s="7">
        <v>960</v>
      </c>
      <c r="H80" s="9">
        <v>27</v>
      </c>
      <c r="I80" t="inlineStr" s="6">
        <is>
          <t xml:space="preserve">R32</t>
        </is>
      </c>
      <c r="J80" t="inlineStr" s="6">
        <is>
          <t xml:space="preserve">https://www.toshiba-aircondition.com/files/aircond/img/estia/mo/deutsche-fotos-mo/HOME_RAS_Catalog_2026-2027_EN(US)_WEB.pdf#page=18</t>
        </is>
      </c>
      <c r="K80" s="10">
        <f>IF(G80="","",G80*(1+'Allgemein'!$B$19))</f>
      </c>
    </row>
    <row r="81">
      <c r="A81" t="inlineStr" s="6">
        <is>
          <t xml:space="preserve">Ja</t>
        </is>
      </c>
      <c r="B81" t="inlineStr" s="6">
        <is>
          <t xml:space="preserve">Toshiba</t>
        </is>
      </c>
      <c r="C81" t="inlineStr" s="6">
        <is>
          <t xml:space="preserve">Shorai Curve RAS-B24P2KVSG-E (Multi)</t>
        </is>
      </c>
      <c r="D81" s="9">
        <v>7</v>
      </c>
      <c r="E81" t="inlineStr" s="6">
        <is>
          <t xml:space="preserve">Premium</t>
        </is>
      </c>
      <c r="F81" t="inlineStr" s="6">
        <is>
          <t xml:space="preserve">Wandgerät</t>
        </is>
      </c>
      <c r="G81" s="7">
        <v>1040</v>
      </c>
      <c r="H81" s="9">
        <v>28</v>
      </c>
      <c r="I81" t="inlineStr" s="6">
        <is>
          <t xml:space="preserve">R32</t>
        </is>
      </c>
      <c r="J81" t="inlineStr" s="6">
        <is>
          <t xml:space="preserve">https://www.toshiba-aircondition.com/files/aircond/img/estia/mo/deutsche-fotos-mo/HOME_RAS_Catalog_2026-2027_EN(US)_WEB.pdf#page=18</t>
        </is>
      </c>
      <c r="K81" s="10">
        <f>IF(G81="","",G81*(1+'Allgemein'!$B$19))</f>
      </c>
    </row>
    <row r="82">
      <c r="A82" t="inlineStr" s="6">
        <is>
          <t xml:space="preserve">Ja</t>
        </is>
      </c>
      <c r="B82" t="inlineStr" s="6">
        <is>
          <t xml:space="preserve">Toshiba</t>
        </is>
      </c>
      <c r="C82" t="inlineStr" s="6">
        <is>
          <t xml:space="preserve">Shorai Curve Black RAS-M05P2KVSGB-E (Multi)</t>
        </is>
      </c>
      <c r="D82" s="9">
        <v>1.5</v>
      </c>
      <c r="E82" t="inlineStr" s="6">
        <is>
          <t xml:space="preserve">Premium</t>
        </is>
      </c>
      <c r="F82" t="inlineStr" s="6">
        <is>
          <t xml:space="preserve">Wandgerät</t>
        </is>
      </c>
      <c r="G82" s="7">
        <v>600</v>
      </c>
      <c r="H82" s="9">
        <v>22</v>
      </c>
      <c r="I82" t="inlineStr" s="6">
        <is>
          <t xml:space="preserve">R32</t>
        </is>
      </c>
      <c r="J82" t="inlineStr" s="6">
        <is>
          <t xml:space="preserve">https://www.toshiba-aircondition.com/files/aircond/img/estia/mo/deutsche-fotos-mo/HOME_RAS_Catalog_2026-2027_EN(US)_WEB.pdf#page=20</t>
        </is>
      </c>
      <c r="K82" s="10">
        <f>IF(G82="","",G82*(1+'Allgemein'!$B$19))</f>
      </c>
    </row>
    <row r="83">
      <c r="A83" t="inlineStr" s="6">
        <is>
          <t xml:space="preserve">Ja</t>
        </is>
      </c>
      <c r="B83" t="inlineStr" s="6">
        <is>
          <t xml:space="preserve">Toshiba</t>
        </is>
      </c>
      <c r="C83" t="inlineStr" s="6">
        <is>
          <t xml:space="preserve">Shorai Curve Black RAS-B10P2KVSGB-E (Multi)</t>
        </is>
      </c>
      <c r="D83" s="9">
        <v>2.5</v>
      </c>
      <c r="E83" t="inlineStr" s="6">
        <is>
          <t xml:space="preserve">Premium</t>
        </is>
      </c>
      <c r="F83" t="inlineStr" s="6">
        <is>
          <t xml:space="preserve">Wandgerät</t>
        </is>
      </c>
      <c r="G83" s="7">
        <v>650</v>
      </c>
      <c r="H83" s="9">
        <v>19</v>
      </c>
      <c r="I83" t="inlineStr" s="6">
        <is>
          <t xml:space="preserve">R32</t>
        </is>
      </c>
      <c r="J83" t="inlineStr" s="6">
        <is>
          <t xml:space="preserve">https://www.toshiba-aircondition.com/files/aircond/img/estia/mo/deutsche-fotos-mo/HOME_RAS_Catalog_2026-2027_EN(US)_WEB.pdf#page=20</t>
        </is>
      </c>
      <c r="K83" s="10">
        <f>IF(G83="","",G83*(1+'Allgemein'!$B$19))</f>
      </c>
    </row>
    <row r="84">
      <c r="A84" t="inlineStr" s="6">
        <is>
          <t xml:space="preserve">Ja</t>
        </is>
      </c>
      <c r="B84" t="inlineStr" s="6">
        <is>
          <t xml:space="preserve">Toshiba</t>
        </is>
      </c>
      <c r="C84" t="inlineStr" s="6">
        <is>
          <t xml:space="preserve">Shorai Curve Black RAS-B13P2KVSGB-E (Multi)</t>
        </is>
      </c>
      <c r="D84" s="9">
        <v>3.5</v>
      </c>
      <c r="E84" t="inlineStr" s="6">
        <is>
          <t xml:space="preserve">Premium</t>
        </is>
      </c>
      <c r="F84" t="inlineStr" s="6">
        <is>
          <t xml:space="preserve">Wandgerät</t>
        </is>
      </c>
      <c r="G84" s="7">
        <v>720</v>
      </c>
      <c r="H84" s="9">
        <v>19</v>
      </c>
      <c r="I84" t="inlineStr" s="6">
        <is>
          <t xml:space="preserve">R32</t>
        </is>
      </c>
      <c r="J84" t="inlineStr" s="6">
        <is>
          <t xml:space="preserve">https://www.toshiba-aircondition.com/files/aircond/img/estia/mo/deutsche-fotos-mo/HOME_RAS_Catalog_2026-2027_EN(US)_WEB.pdf#page=20</t>
        </is>
      </c>
      <c r="K84" s="10">
        <f>IF(G84="","",G84*(1+'Allgemein'!$B$19))</f>
      </c>
    </row>
    <row r="85">
      <c r="A85" t="inlineStr" s="6">
        <is>
          <t xml:space="preserve">Ja</t>
        </is>
      </c>
      <c r="B85" t="inlineStr" s="6">
        <is>
          <t xml:space="preserve">Toshiba</t>
        </is>
      </c>
      <c r="C85" t="inlineStr" s="6">
        <is>
          <t xml:space="preserve">Shorai Curve Black RAS-B16P2KVSGB-E (Multi)</t>
        </is>
      </c>
      <c r="D85" s="9">
        <v>4.6</v>
      </c>
      <c r="E85" t="inlineStr" s="6">
        <is>
          <t xml:space="preserve">Premium</t>
        </is>
      </c>
      <c r="F85" t="inlineStr" s="6">
        <is>
          <t xml:space="preserve">Wandgerät</t>
        </is>
      </c>
      <c r="G85" s="7">
        <v>820</v>
      </c>
      <c r="H85" s="9">
        <v>22</v>
      </c>
      <c r="I85" t="inlineStr" s="6">
        <is>
          <t xml:space="preserve">R32</t>
        </is>
      </c>
      <c r="J85" t="inlineStr" s="6">
        <is>
          <t xml:space="preserve">https://www.toshiba-aircondition.com/files/aircond/img/estia/mo/deutsche-fotos-mo/HOME_RAS_Catalog_2026-2027_EN(US)_WEB.pdf#page=20</t>
        </is>
      </c>
      <c r="K85" s="10">
        <f>IF(G85="","",G85*(1+'Allgemein'!$B$19))</f>
      </c>
    </row>
    <row r="86">
      <c r="A86" t="inlineStr" s="6">
        <is>
          <t xml:space="preserve">Ja</t>
        </is>
      </c>
      <c r="B86" t="inlineStr" s="6">
        <is>
          <t xml:space="preserve">Toshiba</t>
        </is>
      </c>
      <c r="C86" t="inlineStr" s="6">
        <is>
          <t xml:space="preserve">Shorai Curve Black RAS-B18P2KVSGB-E (Multi)</t>
        </is>
      </c>
      <c r="D86" s="9">
        <v>5</v>
      </c>
      <c r="E86" t="inlineStr" s="6">
        <is>
          <t xml:space="preserve">Premium</t>
        </is>
      </c>
      <c r="F86" t="inlineStr" s="6">
        <is>
          <t xml:space="preserve">Wandgerät</t>
        </is>
      </c>
      <c r="G86" s="7">
        <v>920</v>
      </c>
      <c r="H86" s="9">
        <v>26</v>
      </c>
      <c r="I86" t="inlineStr" s="6">
        <is>
          <t xml:space="preserve">R32</t>
        </is>
      </c>
      <c r="J86" t="inlineStr" s="6">
        <is>
          <t xml:space="preserve">https://www.toshiba-aircondition.com/files/aircond/img/estia/mo/deutsche-fotos-mo/HOME_RAS_Catalog_2026-2027_EN(US)_WEB.pdf#page=20</t>
        </is>
      </c>
      <c r="K86" s="10">
        <f>IF(G86="","",G86*(1+'Allgemein'!$B$19))</f>
      </c>
    </row>
    <row r="87">
      <c r="A87" t="inlineStr" s="6">
        <is>
          <t xml:space="preserve">Ja</t>
        </is>
      </c>
      <c r="B87" t="inlineStr" s="6">
        <is>
          <t xml:space="preserve">Toshiba</t>
        </is>
      </c>
      <c r="C87" t="inlineStr" s="6">
        <is>
          <t xml:space="preserve">Shorai Curve Black RAS-B22P2KVSGB-E (Multi)</t>
        </is>
      </c>
      <c r="D87" s="9">
        <v>6.1</v>
      </c>
      <c r="E87" t="inlineStr" s="6">
        <is>
          <t xml:space="preserve">Premium</t>
        </is>
      </c>
      <c r="F87" t="inlineStr" s="6">
        <is>
          <t xml:space="preserve">Wandgerät</t>
        </is>
      </c>
      <c r="G87" s="7">
        <v>1020</v>
      </c>
      <c r="H87" s="9">
        <v>27</v>
      </c>
      <c r="I87" t="inlineStr" s="6">
        <is>
          <t xml:space="preserve">R32</t>
        </is>
      </c>
      <c r="J87" t="inlineStr" s="6">
        <is>
          <t xml:space="preserve">https://www.toshiba-aircondition.com/files/aircond/img/estia/mo/deutsche-fotos-mo/HOME_RAS_Catalog_2026-2027_EN(US)_WEB.pdf#page=20</t>
        </is>
      </c>
      <c r="K87" s="10">
        <f>IF(G87="","",G87*(1+'Allgemein'!$B$19))</f>
      </c>
    </row>
    <row r="88">
      <c r="A88" t="inlineStr" s="6">
        <is>
          <t xml:space="preserve">Ja</t>
        </is>
      </c>
      <c r="B88" t="inlineStr" s="6">
        <is>
          <t xml:space="preserve">Toshiba</t>
        </is>
      </c>
      <c r="C88" t="inlineStr" s="6">
        <is>
          <t xml:space="preserve">Shorai Curve Black RAS-B24P2KVSGB-E (Multi)</t>
        </is>
      </c>
      <c r="D88" s="9">
        <v>7</v>
      </c>
      <c r="E88" t="inlineStr" s="6">
        <is>
          <t xml:space="preserve">Premium</t>
        </is>
      </c>
      <c r="F88" t="inlineStr" s="6">
        <is>
          <t xml:space="preserve">Wandgerät</t>
        </is>
      </c>
      <c r="G88" s="7">
        <v>1100</v>
      </c>
      <c r="H88" s="9">
        <v>28</v>
      </c>
      <c r="I88" t="inlineStr" s="6">
        <is>
          <t xml:space="preserve">R32</t>
        </is>
      </c>
      <c r="J88" t="inlineStr" s="6">
        <is>
          <t xml:space="preserve">https://www.toshiba-aircondition.com/files/aircond/img/estia/mo/deutsche-fotos-mo/HOME_RAS_Catalog_2026-2027_EN(US)_WEB.pdf#page=20</t>
        </is>
      </c>
      <c r="K88" s="10">
        <f>IF(G88="","",G88*(1+'Allgemein'!$B$19))</f>
      </c>
    </row>
    <row r="89">
      <c r="A89" t="inlineStr" s="6">
        <is>
          <t xml:space="preserve">Ja</t>
        </is>
      </c>
      <c r="B89" t="inlineStr" s="6">
        <is>
          <t xml:space="preserve">Toshiba</t>
        </is>
      </c>
      <c r="C89" t="inlineStr" s="6">
        <is>
          <t xml:space="preserve">Haori RAS-B10N4KVRG-E2 (Multi)</t>
        </is>
      </c>
      <c r="D89" s="9">
        <v>2.5</v>
      </c>
      <c r="E89" t="inlineStr" s="6">
        <is>
          <t xml:space="preserve">Premium</t>
        </is>
      </c>
      <c r="F89" t="inlineStr" s="6">
        <is>
          <t xml:space="preserve">Wandgerät</t>
        </is>
      </c>
      <c r="G89" s="7">
        <v>790</v>
      </c>
      <c r="H89" s="9">
        <v>19</v>
      </c>
      <c r="I89" t="inlineStr" s="6">
        <is>
          <t xml:space="preserve">R32</t>
        </is>
      </c>
      <c r="J89" t="inlineStr" s="6">
        <is>
          <t xml:space="preserve">https://www.toshiba-aircondition.com/files/aircond/img/estia/mo/deutsche-fotos-mo/HOME_RAS_Catalog_2026-2027_EN(US)_WEB.pdf#page=22</t>
        </is>
      </c>
      <c r="K89" s="10">
        <f>IF(G89="","",G89*(1+'Allgemein'!$B$19))</f>
      </c>
    </row>
    <row r="90">
      <c r="A90" t="inlineStr" s="6">
        <is>
          <t xml:space="preserve">Ja</t>
        </is>
      </c>
      <c r="B90" t="inlineStr" s="6">
        <is>
          <t xml:space="preserve">Toshiba</t>
        </is>
      </c>
      <c r="C90" t="inlineStr" s="6">
        <is>
          <t xml:space="preserve">Haori RAS-B13N4KVRG-E1 (Multi)</t>
        </is>
      </c>
      <c r="D90" s="9">
        <v>3.5</v>
      </c>
      <c r="E90" t="inlineStr" s="6">
        <is>
          <t xml:space="preserve">Premium</t>
        </is>
      </c>
      <c r="F90" t="inlineStr" s="6">
        <is>
          <t xml:space="preserve">Wandgerät</t>
        </is>
      </c>
      <c r="G90" s="7">
        <v>860</v>
      </c>
      <c r="H90" s="9">
        <v>19</v>
      </c>
      <c r="I90" t="inlineStr" s="6">
        <is>
          <t xml:space="preserve">R32</t>
        </is>
      </c>
      <c r="J90" t="inlineStr" s="6">
        <is>
          <t xml:space="preserve">https://www.toshiba-aircondition.com/files/aircond/img/estia/mo/deutsche-fotos-mo/HOME_RAS_Catalog_2026-2027_EN(US)_WEB.pdf#page=22</t>
        </is>
      </c>
      <c r="K90" s="10">
        <f>IF(G90="","",G90*(1+'Allgemein'!$B$19))</f>
      </c>
    </row>
    <row r="91">
      <c r="A91" t="inlineStr" s="6">
        <is>
          <t xml:space="preserve">Ja</t>
        </is>
      </c>
      <c r="B91" t="inlineStr" s="6">
        <is>
          <t xml:space="preserve">Toshiba</t>
        </is>
      </c>
      <c r="C91" t="inlineStr" s="6">
        <is>
          <t xml:space="preserve">Haori RAS-B16N4KVRG-E1 (Multi)</t>
        </is>
      </c>
      <c r="D91" s="9">
        <v>4.6</v>
      </c>
      <c r="E91" t="inlineStr" s="6">
        <is>
          <t xml:space="preserve">Premium</t>
        </is>
      </c>
      <c r="F91" t="inlineStr" s="6">
        <is>
          <t xml:space="preserve">Wandgerät</t>
        </is>
      </c>
      <c r="G91" s="7">
        <v>960</v>
      </c>
      <c r="H91" s="9">
        <v>21</v>
      </c>
      <c r="I91" t="inlineStr" s="6">
        <is>
          <t xml:space="preserve">R32</t>
        </is>
      </c>
      <c r="J91" t="inlineStr" s="6">
        <is>
          <t xml:space="preserve">https://www.toshiba-aircondition.com/files/aircond/img/estia/mo/deutsche-fotos-mo/HOME_RAS_Catalog_2026-2027_EN(US)_WEB.pdf#page=22</t>
        </is>
      </c>
      <c r="K91" s="10">
        <f>IF(G91="","",G91*(1+'Allgemein'!$B$19))</f>
      </c>
    </row>
    <row r="92">
      <c r="A92" t="inlineStr" s="6">
        <is>
          <t xml:space="preserve">Ja</t>
        </is>
      </c>
      <c r="B92" t="inlineStr" s="6">
        <is>
          <t xml:space="preserve">Toshiba</t>
        </is>
      </c>
      <c r="C92" t="inlineStr" s="6">
        <is>
          <t xml:space="preserve">Daiseikai 10 RAS-B10S4KVPG-E (Multi)</t>
        </is>
      </c>
      <c r="D92" s="9">
        <v>2.5</v>
      </c>
      <c r="E92" t="inlineStr" s="6">
        <is>
          <t xml:space="preserve">Premium</t>
        </is>
      </c>
      <c r="F92" t="inlineStr" s="6">
        <is>
          <t xml:space="preserve">Wandgerät</t>
        </is>
      </c>
      <c r="G92" s="7">
        <v>990</v>
      </c>
      <c r="H92" s="9">
        <v>24</v>
      </c>
      <c r="I92" t="inlineStr" s="6">
        <is>
          <t xml:space="preserve">R32</t>
        </is>
      </c>
      <c r="J92" t="inlineStr" s="6">
        <is>
          <t xml:space="preserve">https://www.toshiba-aircondition.com/files/aircond/img/estia/mo/deutsche-fotos-mo/HOME_RAS_Catalog_2026-2027_EN(US)_WEB.pdf#page=24</t>
        </is>
      </c>
      <c r="K92" s="10">
        <f>IF(G92="","",G92*(1+'Allgemein'!$B$19))</f>
      </c>
    </row>
    <row r="93">
      <c r="A93" t="inlineStr" s="6">
        <is>
          <t xml:space="preserve">Ja</t>
        </is>
      </c>
      <c r="B93" t="inlineStr" s="6">
        <is>
          <t xml:space="preserve">Toshiba</t>
        </is>
      </c>
      <c r="C93" t="inlineStr" s="6">
        <is>
          <t xml:space="preserve">Daiseikai 10 RAS-B13S4KVPG-E (Multi)</t>
        </is>
      </c>
      <c r="D93" s="9">
        <v>3.5</v>
      </c>
      <c r="E93" t="inlineStr" s="6">
        <is>
          <t xml:space="preserve">Premium</t>
        </is>
      </c>
      <c r="F93" t="inlineStr" s="6">
        <is>
          <t xml:space="preserve">Wandgerät</t>
        </is>
      </c>
      <c r="G93" s="7">
        <v>1090</v>
      </c>
      <c r="H93" s="9">
        <v>26</v>
      </c>
      <c r="I93" t="inlineStr" s="6">
        <is>
          <t xml:space="preserve">R32</t>
        </is>
      </c>
      <c r="J93" t="inlineStr" s="6">
        <is>
          <t xml:space="preserve">https://www.toshiba-aircondition.com/files/aircond/img/estia/mo/deutsche-fotos-mo/HOME_RAS_Catalog_2026-2027_EN(US)_WEB.pdf#page=24</t>
        </is>
      </c>
      <c r="K93" s="10">
        <f>IF(G93="","",G93*(1+'Allgemein'!$B$19))</f>
      </c>
    </row>
    <row r="94">
      <c r="A94" t="inlineStr" s="6">
        <is>
          <t xml:space="preserve">Ja</t>
        </is>
      </c>
      <c r="B94" t="inlineStr" s="6">
        <is>
          <t xml:space="preserve">Toshiba</t>
        </is>
      </c>
      <c r="C94" t="inlineStr" s="6">
        <is>
          <t xml:space="preserve">Daiseikai 10 RAS-B18S4KVPG-E (Multi)</t>
        </is>
      </c>
      <c r="D94" s="9">
        <v>5</v>
      </c>
      <c r="E94" t="inlineStr" s="6">
        <is>
          <t xml:space="preserve">Premium</t>
        </is>
      </c>
      <c r="F94" t="inlineStr" s="6">
        <is>
          <t xml:space="preserve">Wandgerät</t>
        </is>
      </c>
      <c r="G94" s="7">
        <v>1290</v>
      </c>
      <c r="H94" s="9">
        <v>25</v>
      </c>
      <c r="I94" t="inlineStr" s="6">
        <is>
          <t xml:space="preserve">R32</t>
        </is>
      </c>
      <c r="J94" t="inlineStr" s="6">
        <is>
          <t xml:space="preserve">https://www.toshiba-aircondition.com/files/aircond/img/estia/mo/deutsche-fotos-mo/HOME_RAS_Catalog_2026-2027_EN(US)_WEB.pdf#page=24</t>
        </is>
      </c>
      <c r="K94" s="10">
        <f>IF(G94="","",G94*(1+'Allgemein'!$B$19))</f>
      </c>
    </row>
    <row r="95">
      <c r="A95" t="inlineStr" s="6">
        <is>
          <t xml:space="preserve">Ja</t>
        </is>
      </c>
      <c r="B95" t="inlineStr" s="6">
        <is>
          <t xml:space="preserve">Toshiba</t>
        </is>
      </c>
      <c r="C95" t="inlineStr" s="6">
        <is>
          <t xml:space="preserve">Daiseikai 10 Wood RAS-B10S4KVDG-E (Multi)</t>
        </is>
      </c>
      <c r="D95" s="9">
        <v>2.5</v>
      </c>
      <c r="E95" t="inlineStr" s="6">
        <is>
          <t xml:space="preserve">Premium</t>
        </is>
      </c>
      <c r="F95" t="inlineStr" s="6">
        <is>
          <t xml:space="preserve">Wandgerät</t>
        </is>
      </c>
      <c r="G95" s="7">
        <v>1190</v>
      </c>
      <c r="H95" s="9">
        <v>24</v>
      </c>
      <c r="I95" t="inlineStr" s="6">
        <is>
          <t xml:space="preserve">R32</t>
        </is>
      </c>
      <c r="J95" t="inlineStr" s="6">
        <is>
          <t xml:space="preserve">https://www.toshiba-aircondition.com/files/aircond/img/estia/mo/deutsche-fotos-mo/HOME_RAS_Catalog_2026-2027_EN(US)_WEB.pdf#page=26</t>
        </is>
      </c>
      <c r="K95" s="10">
        <f>IF(G95="","",G95*(1+'Allgemein'!$B$19))</f>
      </c>
    </row>
    <row r="96">
      <c r="A96" t="inlineStr" s="6">
        <is>
          <t xml:space="preserve">Ja</t>
        </is>
      </c>
      <c r="B96" t="inlineStr" s="6">
        <is>
          <t xml:space="preserve">Toshiba</t>
        </is>
      </c>
      <c r="C96" t="inlineStr" s="6">
        <is>
          <t xml:space="preserve">Daiseikai 10 Wood RAS-B13S4KVDG-E (Multi)</t>
        </is>
      </c>
      <c r="D96" s="9">
        <v>3.5</v>
      </c>
      <c r="E96" t="inlineStr" s="6">
        <is>
          <t xml:space="preserve">Premium</t>
        </is>
      </c>
      <c r="F96" t="inlineStr" s="6">
        <is>
          <t xml:space="preserve">Wandgerät</t>
        </is>
      </c>
      <c r="G96" s="7">
        <v>1290</v>
      </c>
      <c r="H96" s="9">
        <v>26</v>
      </c>
      <c r="I96" t="inlineStr" s="6">
        <is>
          <t xml:space="preserve">R32</t>
        </is>
      </c>
      <c r="J96" t="inlineStr" s="6">
        <is>
          <t xml:space="preserve">https://www.toshiba-aircondition.com/files/aircond/img/estia/mo/deutsche-fotos-mo/HOME_RAS_Catalog_2026-2027_EN(US)_WEB.pdf#page=26</t>
        </is>
      </c>
      <c r="K96" s="10">
        <f>IF(G96="","",G96*(1+'Allgemein'!$B$19))</f>
      </c>
    </row>
    <row r="97">
      <c r="A97" t="inlineStr" s="6">
        <is>
          <t xml:space="preserve">Ja</t>
        </is>
      </c>
      <c r="B97" t="inlineStr" s="6">
        <is>
          <t xml:space="preserve">Toshiba</t>
        </is>
      </c>
      <c r="C97" t="inlineStr" s="6">
        <is>
          <t xml:space="preserve">Daiseikai 10 Wood RAS-B18S4KVDG-E (Multi)</t>
        </is>
      </c>
      <c r="D97" s="9">
        <v>5</v>
      </c>
      <c r="E97" t="inlineStr" s="6">
        <is>
          <t xml:space="preserve">Premium</t>
        </is>
      </c>
      <c r="F97" t="inlineStr" s="6">
        <is>
          <t xml:space="preserve">Wandgerät</t>
        </is>
      </c>
      <c r="G97" s="7">
        <v>1490</v>
      </c>
      <c r="H97" s="9">
        <v>25</v>
      </c>
      <c r="I97" t="inlineStr" s="6">
        <is>
          <t xml:space="preserve">R32</t>
        </is>
      </c>
      <c r="J97" t="inlineStr" s="6">
        <is>
          <t xml:space="preserve">https://www.toshiba-aircondition.com/files/aircond/img/estia/mo/deutsche-fotos-mo/HOME_RAS_Catalog_2026-2027_EN(US)_WEB.pdf#page=26</t>
        </is>
      </c>
      <c r="K97" s="10">
        <f>IF(G97="","",G97*(1+'Allgemein'!$B$19))</f>
      </c>
    </row>
    <row r="98">
      <c r="A98" t="inlineStr" s="6">
        <is>
          <t xml:space="preserve">Ja</t>
        </is>
      </c>
      <c r="B98" t="inlineStr" s="6">
        <is>
          <t xml:space="preserve">Toshiba</t>
        </is>
      </c>
      <c r="C98" t="inlineStr" s="6">
        <is>
          <t xml:space="preserve">Konsole RAS-B10J2FVG-E1 (Multi)</t>
        </is>
      </c>
      <c r="D98" s="9">
        <v>2.5</v>
      </c>
      <c r="E98" t="inlineStr" s="6">
        <is>
          <t xml:space="preserve">Standard</t>
        </is>
      </c>
      <c r="F98" t="inlineStr" s="6">
        <is>
          <t xml:space="preserve">Truhe/Konsole</t>
        </is>
      </c>
      <c r="G98" s="7">
        <v>690</v>
      </c>
      <c r="H98" s="9">
        <v>23</v>
      </c>
      <c r="I98" t="inlineStr" s="6">
        <is>
          <t xml:space="preserve">R32</t>
        </is>
      </c>
      <c r="J98" t="inlineStr" s="6">
        <is>
          <t xml:space="preserve">https://www.toshiba-aircondition.com/files/aircond/img/estia/mo/deutsche-fotos-mo/HOME_RAS_Catalog_2026-2027_EN(US)_WEB.pdf#page=28</t>
        </is>
      </c>
      <c r="K98" s="10">
        <f>IF(G98="","",G98*(1+'Allgemein'!$B$19))</f>
      </c>
    </row>
    <row r="99">
      <c r="A99" t="inlineStr" s="6">
        <is>
          <t xml:space="preserve">Ja</t>
        </is>
      </c>
      <c r="B99" t="inlineStr" s="6">
        <is>
          <t xml:space="preserve">Toshiba</t>
        </is>
      </c>
      <c r="C99" t="inlineStr" s="6">
        <is>
          <t xml:space="preserve">Konsole RAS-B13J2FVG-E1 (Multi)</t>
        </is>
      </c>
      <c r="D99" s="9">
        <v>3.5</v>
      </c>
      <c r="E99" t="inlineStr" s="6">
        <is>
          <t xml:space="preserve">Standard</t>
        </is>
      </c>
      <c r="F99" t="inlineStr" s="6">
        <is>
          <t xml:space="preserve">Truhe/Konsole</t>
        </is>
      </c>
      <c r="G99" s="7">
        <v>760</v>
      </c>
      <c r="H99" s="9">
        <v>24</v>
      </c>
      <c r="I99" t="inlineStr" s="6">
        <is>
          <t xml:space="preserve">R32</t>
        </is>
      </c>
      <c r="J99" t="inlineStr" s="6">
        <is>
          <t xml:space="preserve">https://www.toshiba-aircondition.com/files/aircond/img/estia/mo/deutsche-fotos-mo/HOME_RAS_Catalog_2026-2027_EN(US)_WEB.pdf#page=28</t>
        </is>
      </c>
      <c r="K99" s="10">
        <f>IF(G99="","",G99*(1+'Allgemein'!$B$19))</f>
      </c>
    </row>
    <row r="100">
      <c r="A100" t="inlineStr" s="6">
        <is>
          <t xml:space="preserve">Ja</t>
        </is>
      </c>
      <c r="B100" t="inlineStr" s="6">
        <is>
          <t xml:space="preserve">Toshiba</t>
        </is>
      </c>
      <c r="C100" t="inlineStr" s="6">
        <is>
          <t xml:space="preserve">Konsole RAS-B18J2FVG-E1 (Multi)</t>
        </is>
      </c>
      <c r="D100" s="9">
        <v>5</v>
      </c>
      <c r="E100" t="inlineStr" s="6">
        <is>
          <t xml:space="preserve">Standard</t>
        </is>
      </c>
      <c r="F100" t="inlineStr" s="6">
        <is>
          <t xml:space="preserve">Truhe/Konsole</t>
        </is>
      </c>
      <c r="G100" s="7">
        <v>890</v>
      </c>
      <c r="H100" s="9">
        <v>37</v>
      </c>
      <c r="I100" t="inlineStr" s="6">
        <is>
          <t xml:space="preserve">R32</t>
        </is>
      </c>
      <c r="J100" t="inlineStr" s="6">
        <is>
          <t xml:space="preserve">https://www.toshiba-aircondition.com/files/aircond/img/estia/mo/deutsche-fotos-mo/HOME_RAS_Catalog_2026-2027_EN(US)_WEB.pdf#page=28</t>
        </is>
      </c>
      <c r="K100" s="10">
        <f>IF(G100="","",G100*(1+'Allgemein'!$B$19))</f>
      </c>
    </row>
    <row r="101">
      <c r="A101" t="inlineStr" s="6">
        <is>
          <t xml:space="preserve">Ja</t>
        </is>
      </c>
      <c r="B101" t="inlineStr" s="6">
        <is>
          <t xml:space="preserve">Toshiba</t>
        </is>
      </c>
      <c r="C101" t="inlineStr" s="6">
        <is>
          <t xml:space="preserve">Kanalgerät RAS-M10U2DVG-E (Multi)</t>
        </is>
      </c>
      <c r="D101" s="9">
        <v>2.7</v>
      </c>
      <c r="E101" t="inlineStr" s="6">
        <is>
          <t xml:space="preserve">Standard</t>
        </is>
      </c>
      <c r="F101" t="inlineStr" s="6">
        <is>
          <t xml:space="preserve">Kanalgerät</t>
        </is>
      </c>
      <c r="G101" s="7">
        <v>790</v>
      </c>
      <c r="H101" s="9">
        <v>27</v>
      </c>
      <c r="I101" t="inlineStr" s="6">
        <is>
          <t xml:space="preserve">R32</t>
        </is>
      </c>
      <c r="J101" t="inlineStr" s="6">
        <is>
          <t xml:space="preserve">https://data.toshiba-klima.at/de/Duct%20unit%20R32_R410A%20-%202%2C70%20kW%20-%20R410_R32%20-%20Home%20RAS-M10U2DVG-E%20de.pdf</t>
        </is>
      </c>
      <c r="K101" s="10">
        <f>IF(G101="","",G101*(1+'Allgemein'!$B$19))</f>
      </c>
    </row>
    <row r="102">
      <c r="A102" t="inlineStr" s="6">
        <is>
          <t xml:space="preserve">Ja</t>
        </is>
      </c>
      <c r="B102" t="inlineStr" s="6">
        <is>
          <t xml:space="preserve">Toshiba</t>
        </is>
      </c>
      <c r="C102" t="inlineStr" s="6">
        <is>
          <t xml:space="preserve">Kanalgerät RAS-M13U2DVG-E (Multi)</t>
        </is>
      </c>
      <c r="D102" s="9">
        <v>3.7</v>
      </c>
      <c r="E102" t="inlineStr" s="6">
        <is>
          <t xml:space="preserve">Standard</t>
        </is>
      </c>
      <c r="F102" t="inlineStr" s="6">
        <is>
          <t xml:space="preserve">Kanalgerät</t>
        </is>
      </c>
      <c r="G102" s="7">
        <v>850</v>
      </c>
      <c r="H102" s="9">
        <v>27</v>
      </c>
      <c r="I102" t="inlineStr" s="6">
        <is>
          <t xml:space="preserve">R32</t>
        </is>
      </c>
      <c r="J102" t="inlineStr" s="6">
        <is>
          <t xml:space="preserve">https://data.toshiba-klima.at/de/Duct%20unit%20R32_R410A%20-%203%2C70%20kW%20-%20R410_R32%20-%20Home%20RAS-M13U2DVG-E%20de.pdf</t>
        </is>
      </c>
      <c r="K102" s="10">
        <f>IF(G102="","",G102*(1+'Allgemein'!$B$19))</f>
      </c>
    </row>
    <row r="103">
      <c r="A103" t="inlineStr" s="6">
        <is>
          <t xml:space="preserve">Ja</t>
        </is>
      </c>
      <c r="B103" t="inlineStr" s="6">
        <is>
          <t xml:space="preserve">Toshiba</t>
        </is>
      </c>
      <c r="C103" t="inlineStr" s="6">
        <is>
          <t xml:space="preserve">Kanalgerät RAS-M16U2DVG-E (Multi)</t>
        </is>
      </c>
      <c r="D103" s="9">
        <v>4.5</v>
      </c>
      <c r="E103" t="inlineStr" s="6">
        <is>
          <t xml:space="preserve">Standard</t>
        </is>
      </c>
      <c r="F103" t="inlineStr" s="6">
        <is>
          <t xml:space="preserve">Kanalgerät</t>
        </is>
      </c>
      <c r="G103" s="7">
        <v>930</v>
      </c>
      <c r="H103" s="9">
        <v>24</v>
      </c>
      <c r="I103" t="inlineStr" s="6">
        <is>
          <t xml:space="preserve">R32</t>
        </is>
      </c>
      <c r="J103" t="inlineStr" s="6">
        <is>
          <t xml:space="preserve">https://data.toshiba-klima.at/de/Duct%20unit%20R32_R410A%20-%204%2C50%20kW%20-%20R410_R32%20-%20Home%20RAS-M16U2DVG-E%20de.pdf</t>
        </is>
      </c>
      <c r="K103" s="10">
        <f>IF(G103="","",G103*(1+'Allgemein'!$B$19))</f>
      </c>
    </row>
    <row r="104">
      <c r="A104" t="inlineStr" s="6">
        <is>
          <t xml:space="preserve">Ja</t>
        </is>
      </c>
      <c r="B104" t="inlineStr" s="6">
        <is>
          <t xml:space="preserve">Toshiba</t>
        </is>
      </c>
      <c r="C104" t="inlineStr" s="6">
        <is>
          <t xml:space="preserve">Kanalgerät RAS-M22U2DVG-E (Multi)</t>
        </is>
      </c>
      <c r="D104" s="9">
        <v>6</v>
      </c>
      <c r="E104" t="inlineStr" s="6">
        <is>
          <t xml:space="preserve">Standard</t>
        </is>
      </c>
      <c r="F104" t="inlineStr" s="6">
        <is>
          <t xml:space="preserve">Kanalgerät</t>
        </is>
      </c>
      <c r="G104" s="7">
        <v>1090</v>
      </c>
      <c r="H104" s="9">
        <v>32</v>
      </c>
      <c r="I104" t="inlineStr" s="6">
        <is>
          <t xml:space="preserve">R32</t>
        </is>
      </c>
      <c r="J104" t="inlineStr" s="6">
        <is>
          <t xml:space="preserve">https://data.toshiba-klima.at/de/Duct%20unit%20R32_R410A%20-%206%2C00%20kW%20-%20R410_R32%20-%20Home%20RAS-M22U2DVG-E%20de.pdf</t>
        </is>
      </c>
      <c r="K104" s="10">
        <f>IF(G104="","",G104*(1+'Allgemein'!$B$19))</f>
      </c>
    </row>
    <row r="105">
      <c r="A105" t="inlineStr" s="6">
        <is>
          <t xml:space="preserve">Ja</t>
        </is>
      </c>
      <c r="B105" t="inlineStr" s="6">
        <is>
          <t xml:space="preserve">Toshiba</t>
        </is>
      </c>
      <c r="C105" t="inlineStr" s="6">
        <is>
          <t xml:space="preserve">Kanalgerät RAS-M24U2DVG-E (Multi)</t>
        </is>
      </c>
      <c r="D105" s="9">
        <v>7</v>
      </c>
      <c r="E105" t="inlineStr" s="6">
        <is>
          <t xml:space="preserve">Standard</t>
        </is>
      </c>
      <c r="F105" t="inlineStr" s="6">
        <is>
          <t xml:space="preserve">Kanalgerät</t>
        </is>
      </c>
      <c r="G105" s="7">
        <v>1190</v>
      </c>
      <c r="H105" s="9">
        <v>33</v>
      </c>
      <c r="I105" t="inlineStr" s="6">
        <is>
          <t xml:space="preserve">R32</t>
        </is>
      </c>
      <c r="J105" t="inlineStr" s="6">
        <is>
          <t xml:space="preserve">https://data.toshiba-klima.at/de/Duct%20unit%20R32_R410A%20-%207%2C00%20kW%20-%20R410_R32%20-%20Home%20RAS-M24U2DVG-E%20de.pdf</t>
        </is>
      </c>
      <c r="K105" s="10">
        <f>IF(G105="","",G105*(1+'Allgemein'!$B$19))</f>
      </c>
    </row>
    <row r="106">
      <c r="A106" t="inlineStr" s="6">
        <is>
          <t xml:space="preserve">Ja</t>
        </is>
      </c>
      <c r="B106" t="inlineStr" s="6">
        <is>
          <t xml:space="preserve">Toshiba</t>
        </is>
      </c>
      <c r="C106" t="inlineStr" s="6">
        <is>
          <t xml:space="preserve">Kassette 60x60 RAS-M10S4MUVG-E (Multi)</t>
        </is>
      </c>
      <c r="D106" s="9">
        <v>2.7</v>
      </c>
      <c r="E106" t="inlineStr" s="6">
        <is>
          <t xml:space="preserve">Standard</t>
        </is>
      </c>
      <c r="F106" t="inlineStr" s="6">
        <is>
          <t xml:space="preserve">Kassette</t>
        </is>
      </c>
      <c r="G106" s="7">
        <v>990</v>
      </c>
      <c r="H106" s="9">
        <v>30</v>
      </c>
      <c r="I106" t="inlineStr" s="6">
        <is>
          <t xml:space="preserve">R32</t>
        </is>
      </c>
      <c r="J106" t="inlineStr" s="6">
        <is>
          <t xml:space="preserve">https://www.toshiba-aircondition.com/files/aircond/img/estia/mo/deutsche-fotos-mo/HOME_RAS_Catalog_2026-2027_EN(US)_WEB.pdf#page=31</t>
        </is>
      </c>
      <c r="K106" s="10">
        <f>IF(G106="","",G106*(1+'Allgemein'!$B$19))</f>
      </c>
    </row>
    <row r="107">
      <c r="A107" t="inlineStr" s="6">
        <is>
          <t xml:space="preserve">Ja</t>
        </is>
      </c>
      <c r="B107" t="inlineStr" s="6">
        <is>
          <t xml:space="preserve">Toshiba</t>
        </is>
      </c>
      <c r="C107" t="inlineStr" s="6">
        <is>
          <t xml:space="preserve">Kassette 60x60 RAS-M13S4MUVG-E (Multi)</t>
        </is>
      </c>
      <c r="D107" s="9">
        <v>3.7</v>
      </c>
      <c r="E107" t="inlineStr" s="6">
        <is>
          <t xml:space="preserve">Standard</t>
        </is>
      </c>
      <c r="F107" t="inlineStr" s="6">
        <is>
          <t xml:space="preserve">Kassette</t>
        </is>
      </c>
      <c r="G107" s="7">
        <v>1050</v>
      </c>
      <c r="H107" s="9">
        <v>33</v>
      </c>
      <c r="I107" t="inlineStr" s="6">
        <is>
          <t xml:space="preserve">R32</t>
        </is>
      </c>
      <c r="J107" t="inlineStr" s="6">
        <is>
          <t xml:space="preserve">https://www.toshiba-aircondition.com/files/aircond/img/estia/mo/deutsche-fotos-mo/HOME_RAS_Catalog_2026-2027_EN(US)_WEB.pdf#page=31</t>
        </is>
      </c>
      <c r="K107" s="10">
        <f>IF(G107="","",G107*(1+'Allgemein'!$B$19))</f>
      </c>
    </row>
    <row r="108">
      <c r="A108" t="inlineStr" s="6">
        <is>
          <t xml:space="preserve">Ja</t>
        </is>
      </c>
      <c r="B108" t="inlineStr" s="6">
        <is>
          <t xml:space="preserve">Toshiba</t>
        </is>
      </c>
      <c r="C108" t="inlineStr" s="6">
        <is>
          <t xml:space="preserve">Kassette 60x60 RAS-M16S4MUVG-E (Multi)</t>
        </is>
      </c>
      <c r="D108" s="9">
        <v>4.5</v>
      </c>
      <c r="E108" t="inlineStr" s="6">
        <is>
          <t xml:space="preserve">Standard</t>
        </is>
      </c>
      <c r="F108" t="inlineStr" s="6">
        <is>
          <t xml:space="preserve">Kassette</t>
        </is>
      </c>
      <c r="G108" s="7">
        <v>1150</v>
      </c>
      <c r="H108" s="9">
        <v>33</v>
      </c>
      <c r="I108" t="inlineStr" s="6">
        <is>
          <t xml:space="preserve">R32</t>
        </is>
      </c>
      <c r="J108" t="inlineStr" s="6">
        <is>
          <t xml:space="preserve">https://www.toshiba-aircondition.com/files/aircond/img/estia/mo/deutsche-fotos-mo/HOME_RAS_Catalog_2026-2027_EN(US)_WEB.pdf#page=31</t>
        </is>
      </c>
      <c r="K108" s="10">
        <f>IF(G108="","",G108*(1+'Allgemein'!$B$19))</f>
      </c>
    </row>
    <row r="109">
      <c r="A109" t="inlineStr" s="6">
        <is>
          <t xml:space="preserve">Ja</t>
        </is>
      </c>
      <c r="B109" t="inlineStr" s="6">
        <is>
          <t xml:space="preserve">Toshiba</t>
        </is>
      </c>
      <c r="C109" t="inlineStr" s="6">
        <is>
          <t xml:space="preserve">1-Wege-Flachkassette RAS-M05G3YVG-E (Multi)</t>
        </is>
      </c>
      <c r="D109" s="9">
        <v>1.5</v>
      </c>
      <c r="E109" t="inlineStr" s="6">
        <is>
          <t xml:space="preserve">Premium</t>
        </is>
      </c>
      <c r="F109" t="inlineStr" s="6">
        <is>
          <t xml:space="preserve">Kassette</t>
        </is>
      </c>
      <c r="G109" s="7">
        <v>1090</v>
      </c>
      <c r="H109" s="9">
        <v>25</v>
      </c>
      <c r="I109" t="inlineStr" s="6">
        <is>
          <t xml:space="preserve">R32</t>
        </is>
      </c>
      <c r="J109" t="inlineStr" s="6">
        <is>
          <t xml:space="preserve">https://www.toshiba-aircondition.com/files/aircond/img/estia/mo/deutsche-fotos-mo/HOME_RAS_Catalog_2026-2027_EN(US)_WEB.pdf#page=32</t>
        </is>
      </c>
      <c r="K109" s="10">
        <f>IF(G109="","",G109*(1+'Allgemein'!$B$19))</f>
      </c>
    </row>
    <row r="110">
      <c r="A110" t="inlineStr" s="6">
        <is>
          <t xml:space="preserve">Ja</t>
        </is>
      </c>
      <c r="B110" t="inlineStr" s="6">
        <is>
          <t xml:space="preserve">Toshiba</t>
        </is>
      </c>
      <c r="C110" t="inlineStr" s="6">
        <is>
          <t xml:space="preserve">1-Wege-Flachkassette RAS-M10G3YVG-E (Multi)</t>
        </is>
      </c>
      <c r="D110" s="9">
        <v>2.5</v>
      </c>
      <c r="E110" t="inlineStr" s="6">
        <is>
          <t xml:space="preserve">Premium</t>
        </is>
      </c>
      <c r="F110" t="inlineStr" s="6">
        <is>
          <t xml:space="preserve">Kassette</t>
        </is>
      </c>
      <c r="G110" s="7">
        <v>1150</v>
      </c>
      <c r="H110" s="9">
        <v>39</v>
      </c>
      <c r="I110" t="inlineStr" s="6">
        <is>
          <t xml:space="preserve">R32</t>
        </is>
      </c>
      <c r="J110" t="inlineStr" s="6">
        <is>
          <t xml:space="preserve">https://www.toshiba-aircondition.com/files/aircond/img/estia/mo/deutsche-fotos-mo/HOME_RAS_Catalog_2026-2027_EN(US)_WEB.pdf#page=32</t>
        </is>
      </c>
      <c r="K110" s="10">
        <f>IF(G110="","",G110*(1+'Allgemein'!$B$19))</f>
      </c>
    </row>
    <row r="111">
      <c r="A111" t="inlineStr" s="6">
        <is>
          <t xml:space="preserve">Ja</t>
        </is>
      </c>
      <c r="B111" t="inlineStr" s="6">
        <is>
          <t xml:space="preserve">Toshiba</t>
        </is>
      </c>
      <c r="C111" t="inlineStr" s="6">
        <is>
          <t xml:space="preserve">1-Wege-Flachkassette RAS-M13G3YVG-E (Multi)</t>
        </is>
      </c>
      <c r="D111" s="9">
        <v>3.6</v>
      </c>
      <c r="E111" t="inlineStr" s="6">
        <is>
          <t xml:space="preserve">Premium</t>
        </is>
      </c>
      <c r="F111" t="inlineStr" s="6">
        <is>
          <t xml:space="preserve">Kassette</t>
        </is>
      </c>
      <c r="G111" s="7">
        <v>1190</v>
      </c>
      <c r="H111" s="9">
        <v>39</v>
      </c>
      <c r="I111" t="inlineStr" s="6">
        <is>
          <t xml:space="preserve">R32</t>
        </is>
      </c>
      <c r="J111" t="inlineStr" s="6">
        <is>
          <t xml:space="preserve">https://www.toshiba-aircondition.com/files/aircond/img/estia/mo/deutsche-fotos-mo/HOME_RAS_Catalog_2026-2027_EN(US)_WEB.pdf#page=32</t>
        </is>
      </c>
      <c r="K111" s="10">
        <f>IF(G111="","",G111*(1+'Allgemein'!$B$19))</f>
      </c>
    </row>
    <row r="112">
      <c r="A112" t="inlineStr" s="6">
        <is>
          <t xml:space="preserve">Ja</t>
        </is>
      </c>
      <c r="B112" t="inlineStr" s="6">
        <is>
          <t xml:space="preserve">Toshiba</t>
        </is>
      </c>
      <c r="C112" t="inlineStr" s="6">
        <is>
          <t xml:space="preserve">1-Wege-Flachkassette RAS-M16G3YVG-E (Multi)</t>
        </is>
      </c>
      <c r="D112" s="9">
        <v>4.6</v>
      </c>
      <c r="E112" t="inlineStr" s="6">
        <is>
          <t xml:space="preserve">Premium</t>
        </is>
      </c>
      <c r="F112" t="inlineStr" s="6">
        <is>
          <t xml:space="preserve">Kassette</t>
        </is>
      </c>
      <c r="G112" s="7">
        <v>1290</v>
      </c>
      <c r="H112" s="9">
        <v>33</v>
      </c>
      <c r="I112" t="inlineStr" s="6">
        <is>
          <t xml:space="preserve">R32</t>
        </is>
      </c>
      <c r="J112" t="inlineStr" s="6">
        <is>
          <t xml:space="preserve">https://www.toshiba-aircondition.com/files/aircond/img/estia/mo/deutsche-fotos-mo/HOME_RAS_Catalog_2026-2027_EN(US)_WEB.pdf#page=32</t>
        </is>
      </c>
      <c r="K112" s="10">
        <f>IF(G112="","",G112*(1+'Allgemein'!$B$19))</f>
      </c>
    </row>
    <row r="113">
      <c r="A113" t="inlineStr" s="6">
        <is>
          <t xml:space="preserve">Ja</t>
        </is>
      </c>
      <c r="B113" t="inlineStr" s="6">
        <is>
          <t xml:space="preserve">Toshiba</t>
        </is>
      </c>
      <c r="C113" t="inlineStr" s="6">
        <is>
          <t xml:space="preserve">1-Wege-Flachkassette RAS-M24G3YVG-E (Multi)</t>
        </is>
      </c>
      <c r="D113" s="9">
        <v>7</v>
      </c>
      <c r="E113" t="inlineStr" s="6">
        <is>
          <t xml:space="preserve">Premium</t>
        </is>
      </c>
      <c r="F113" t="inlineStr" s="6">
        <is>
          <t xml:space="preserve">Kassette</t>
        </is>
      </c>
      <c r="G113" s="7">
        <v>1490</v>
      </c>
      <c r="H113" s="9">
        <v>50</v>
      </c>
      <c r="I113" t="inlineStr" s="6">
        <is>
          <t xml:space="preserve">R32</t>
        </is>
      </c>
      <c r="J113" t="inlineStr" s="6">
        <is>
          <t xml:space="preserve">https://www.toshiba-aircondition.com/files/aircond/img/estia/mo/deutsche-fotos-mo/HOME_RAS_Catalog_2026-2027_EN(US)_WEB.pdf#page=32</t>
        </is>
      </c>
      <c r="K113" s="10">
        <f>IF(G113="","",G113*(1+'Allgemein'!$B$19))</f>
      </c>
    </row>
    <row r="114">
      <c r="A114" t="inlineStr" s="6">
        <is>
          <t xml:space="preserve">Ja</t>
        </is>
      </c>
      <c r="B114" t="inlineStr" s="6">
        <is>
          <t xml:space="preserve">Daikin</t>
        </is>
      </c>
      <c r="C114" t="inlineStr" s="6">
        <is>
          <t xml:space="preserve">Comfora FTXP25N (Multi)</t>
        </is>
      </c>
      <c r="D114" s="9">
        <v>2.5</v>
      </c>
      <c r="E114" t="inlineStr" s="6">
        <is>
          <t xml:space="preserve">Standard</t>
        </is>
      </c>
      <c r="F114" t="inlineStr" s="6">
        <is>
          <t xml:space="preserve">Wandgerät</t>
        </is>
      </c>
      <c r="G114" s="7">
        <v>470</v>
      </c>
      <c r="H114" s="9">
        <v>19</v>
      </c>
      <c r="I114" t="inlineStr" s="6">
        <is>
          <t xml:space="preserve">R32</t>
        </is>
      </c>
      <c r="J114" t="inlineStr" s="6">
        <is>
          <t xml:space="preserve">https://www.daikin.de/de_de/produkte/product.table.html/FTXP-N9.html</t>
        </is>
      </c>
      <c r="K114" s="10">
        <f>IF(G114="","",G114*(1+'Allgemein'!$B$19))</f>
      </c>
    </row>
    <row r="115">
      <c r="A115" t="inlineStr" s="6">
        <is>
          <t xml:space="preserve">Ja</t>
        </is>
      </c>
      <c r="B115" t="inlineStr" s="6">
        <is>
          <t xml:space="preserve">Daikin</t>
        </is>
      </c>
      <c r="C115" t="inlineStr" s="6">
        <is>
          <t xml:space="preserve">Comfora FTXP35N (Multi)</t>
        </is>
      </c>
      <c r="D115" s="9">
        <v>3.5</v>
      </c>
      <c r="E115" t="inlineStr" s="6">
        <is>
          <t xml:space="preserve">Standard</t>
        </is>
      </c>
      <c r="F115" t="inlineStr" s="6">
        <is>
          <t xml:space="preserve">Wandgerät</t>
        </is>
      </c>
      <c r="G115" s="7">
        <v>520</v>
      </c>
      <c r="H115" s="9">
        <v>20</v>
      </c>
      <c r="I115" t="inlineStr" s="6">
        <is>
          <t xml:space="preserve">R32</t>
        </is>
      </c>
      <c r="J115" t="inlineStr" s="6">
        <is>
          <t xml:space="preserve">https://www.daikin.de/de_de/produkte/product.table.html/FTXP-N9.html</t>
        </is>
      </c>
      <c r="K115" s="10">
        <f>IF(G115="","",G115*(1+'Allgemein'!$B$19))</f>
      </c>
    </row>
    <row r="116">
      <c r="A116" t="inlineStr" s="6">
        <is>
          <t xml:space="preserve">Ja</t>
        </is>
      </c>
      <c r="B116" t="inlineStr" s="6">
        <is>
          <t xml:space="preserve">Daikin</t>
        </is>
      </c>
      <c r="C116" t="inlineStr" s="6">
        <is>
          <t xml:space="preserve">Comfora FTXP50N (Multi)</t>
        </is>
      </c>
      <c r="D116" s="9">
        <v>5</v>
      </c>
      <c r="E116" t="inlineStr" s="6">
        <is>
          <t xml:space="preserve">Standard</t>
        </is>
      </c>
      <c r="F116" t="inlineStr" s="6">
        <is>
          <t xml:space="preserve">Wandgerät</t>
        </is>
      </c>
      <c r="G116" s="7">
        <v>680</v>
      </c>
      <c r="H116" s="9">
        <v>27</v>
      </c>
      <c r="I116" t="inlineStr" s="6">
        <is>
          <t xml:space="preserve">R32</t>
        </is>
      </c>
      <c r="J116" t="inlineStr" s="6">
        <is>
          <t xml:space="preserve">https://www.daikin.de/de_de/produkte/product.table.html/FTXP-N9.html</t>
        </is>
      </c>
      <c r="K116" s="10">
        <f>IF(G116="","",G116*(1+'Allgemein'!$B$19))</f>
      </c>
    </row>
    <row r="117">
      <c r="A117" t="inlineStr" s="6">
        <is>
          <t xml:space="preserve">Ja</t>
        </is>
      </c>
      <c r="B117" t="inlineStr" s="6">
        <is>
          <t xml:space="preserve">Daikin</t>
        </is>
      </c>
      <c r="C117" t="inlineStr" s="6">
        <is>
          <t xml:space="preserve">Perfera FTXM20A (Multi)</t>
        </is>
      </c>
      <c r="D117" s="9">
        <v>2</v>
      </c>
      <c r="E117" t="inlineStr" s="6">
        <is>
          <t xml:space="preserve">Premium</t>
        </is>
      </c>
      <c r="F117" t="inlineStr" s="6">
        <is>
          <t xml:space="preserve">Wandgerät</t>
        </is>
      </c>
      <c r="G117" s="7">
        <v>560</v>
      </c>
      <c r="H117" s="9">
        <v>19</v>
      </c>
      <c r="I117" t="inlineStr" s="6">
        <is>
          <t xml:space="preserve">R32</t>
        </is>
      </c>
      <c r="J117" t="inlineStr" s="6">
        <is>
          <t xml:space="preserve">https://www.daikin.de/de_de/produkte/product.table.html/FTXM-A.html</t>
        </is>
      </c>
      <c r="K117" s="10">
        <f>IF(G117="","",G117*(1+'Allgemein'!$B$19))</f>
      </c>
    </row>
    <row r="118">
      <c r="A118" t="inlineStr" s="6">
        <is>
          <t xml:space="preserve">Ja</t>
        </is>
      </c>
      <c r="B118" t="inlineStr" s="6">
        <is>
          <t xml:space="preserve">Daikin</t>
        </is>
      </c>
      <c r="C118" t="inlineStr" s="6">
        <is>
          <t xml:space="preserve">Perfera FTXM25A (Multi)</t>
        </is>
      </c>
      <c r="D118" s="9">
        <v>2.5</v>
      </c>
      <c r="E118" t="inlineStr" s="6">
        <is>
          <t xml:space="preserve">Premium</t>
        </is>
      </c>
      <c r="F118" t="inlineStr" s="6">
        <is>
          <t xml:space="preserve">Wandgerät</t>
        </is>
      </c>
      <c r="G118" s="7">
        <v>600</v>
      </c>
      <c r="H118" s="9">
        <v>19</v>
      </c>
      <c r="I118" t="inlineStr" s="6">
        <is>
          <t xml:space="preserve">R32</t>
        </is>
      </c>
      <c r="J118" t="inlineStr" s="6">
        <is>
          <t xml:space="preserve">https://www.daikin.de/de_de/produkte/product.table.html/FTXM-A.html</t>
        </is>
      </c>
      <c r="K118" s="10">
        <f>IF(G118="","",G118*(1+'Allgemein'!$B$19))</f>
      </c>
    </row>
    <row r="119">
      <c r="A119" t="inlineStr" s="6">
        <is>
          <t xml:space="preserve">Ja</t>
        </is>
      </c>
      <c r="B119" t="inlineStr" s="6">
        <is>
          <t xml:space="preserve">Daikin</t>
        </is>
      </c>
      <c r="C119" t="inlineStr" s="6">
        <is>
          <t xml:space="preserve">Perfera FTXM35A (Multi)</t>
        </is>
      </c>
      <c r="D119" s="9">
        <v>3.5</v>
      </c>
      <c r="E119" t="inlineStr" s="6">
        <is>
          <t xml:space="preserve">Premium</t>
        </is>
      </c>
      <c r="F119" t="inlineStr" s="6">
        <is>
          <t xml:space="preserve">Wandgerät</t>
        </is>
      </c>
      <c r="G119" s="7">
        <v>680</v>
      </c>
      <c r="H119" s="9">
        <v>19</v>
      </c>
      <c r="I119" t="inlineStr" s="6">
        <is>
          <t xml:space="preserve">R32</t>
        </is>
      </c>
      <c r="J119" t="inlineStr" s="6">
        <is>
          <t xml:space="preserve">https://www.daikin.de/de_de/produkte/product.table.html/FTXM-A.html</t>
        </is>
      </c>
      <c r="K119" s="10">
        <f>IF(G119="","",G119*(1+'Allgemein'!$B$19))</f>
      </c>
    </row>
    <row r="120">
      <c r="A120" t="inlineStr" s="6">
        <is>
          <t xml:space="preserve">Ja</t>
        </is>
      </c>
      <c r="B120" t="inlineStr" s="6">
        <is>
          <t xml:space="preserve">Daikin</t>
        </is>
      </c>
      <c r="C120" t="inlineStr" s="6">
        <is>
          <t xml:space="preserve">Perfera FTXM42A (Multi)</t>
        </is>
      </c>
      <c r="D120" s="9">
        <v>4.2</v>
      </c>
      <c r="E120" t="inlineStr" s="6">
        <is>
          <t xml:space="preserve">Premium</t>
        </is>
      </c>
      <c r="F120" t="inlineStr" s="6">
        <is>
          <t xml:space="preserve">Wandgerät</t>
        </is>
      </c>
      <c r="G120" s="7">
        <v>760</v>
      </c>
      <c r="H120" s="9">
        <v>21</v>
      </c>
      <c r="I120" t="inlineStr" s="6">
        <is>
          <t xml:space="preserve">R32</t>
        </is>
      </c>
      <c r="J120" t="inlineStr" s="6">
        <is>
          <t xml:space="preserve">https://www.daikin.de/de_de/produkte/product.table.html/FTXM-A.html</t>
        </is>
      </c>
      <c r="K120" s="10">
        <f>IF(G120="","",G120*(1+'Allgemein'!$B$19))</f>
      </c>
    </row>
    <row r="121">
      <c r="A121" t="inlineStr" s="6">
        <is>
          <t xml:space="preserve">Ja</t>
        </is>
      </c>
      <c r="B121" t="inlineStr" s="6">
        <is>
          <t xml:space="preserve">Daikin</t>
        </is>
      </c>
      <c r="C121" t="inlineStr" s="6">
        <is>
          <t xml:space="preserve">Perfera FTXM50A (Multi)</t>
        </is>
      </c>
      <c r="D121" s="9">
        <v>5</v>
      </c>
      <c r="E121" t="inlineStr" s="6">
        <is>
          <t xml:space="preserve">Premium</t>
        </is>
      </c>
      <c r="F121" t="inlineStr" s="6">
        <is>
          <t xml:space="preserve">Wandgerät</t>
        </is>
      </c>
      <c r="G121" s="7">
        <v>860</v>
      </c>
      <c r="H121" s="9">
        <v>27</v>
      </c>
      <c r="I121" t="inlineStr" s="6">
        <is>
          <t xml:space="preserve">R32</t>
        </is>
      </c>
      <c r="J121" t="inlineStr" s="6">
        <is>
          <t xml:space="preserve">https://www.daikin.de/de_de/produkte/product.table.html/FTXM-A.html</t>
        </is>
      </c>
      <c r="K121" s="10">
        <f>IF(G121="","",G121*(1+'Allgemein'!$B$19))</f>
      </c>
    </row>
    <row r="122">
      <c r="A122" t="inlineStr" s="6">
        <is>
          <t xml:space="preserve"/>
        </is>
      </c>
      <c r="B122" t="inlineStr" s="6">
        <is>
          <t xml:space="preserve"/>
        </is>
      </c>
      <c r="C122" t="inlineStr" s="6">
        <is>
          <t xml:space="preserve"/>
        </is>
      </c>
      <c r="D122" s="9"/>
      <c r="E122" t="inlineStr" s="6">
        <is>
          <t xml:space="preserve"/>
        </is>
      </c>
      <c r="F122" t="inlineStr" s="6">
        <is>
          <t xml:space="preserve"/>
        </is>
      </c>
      <c r="G122" s="7"/>
      <c r="H122" s="9"/>
      <c r="I122" t="inlineStr" s="6">
        <is>
          <t xml:space="preserve"/>
        </is>
      </c>
      <c r="J122" t="inlineStr" s="6">
        <is>
          <t xml:space="preserve"/>
        </is>
      </c>
      <c r="K122" s="10">
        <f>IF(G122="","",G122*(1+'Allgemein'!$B$19))</f>
      </c>
    </row>
    <row r="123">
      <c r="A123" t="inlineStr" s="6">
        <is>
          <t xml:space="preserve"/>
        </is>
      </c>
      <c r="B123" t="inlineStr" s="6">
        <is>
          <t xml:space="preserve"/>
        </is>
      </c>
      <c r="C123" t="inlineStr" s="6">
        <is>
          <t xml:space="preserve"/>
        </is>
      </c>
      <c r="D123" s="9"/>
      <c r="E123" t="inlineStr" s="6">
        <is>
          <t xml:space="preserve"/>
        </is>
      </c>
      <c r="F123" t="inlineStr" s="6">
        <is>
          <t xml:space="preserve"/>
        </is>
      </c>
      <c r="G123" s="7"/>
      <c r="H123" s="9"/>
      <c r="I123" t="inlineStr" s="6">
        <is>
          <t xml:space="preserve"/>
        </is>
      </c>
      <c r="J123" t="inlineStr" s="6">
        <is>
          <t xml:space="preserve"/>
        </is>
      </c>
      <c r="K123" s="10">
        <f>IF(G123="","",G123*(1+'Allgemein'!$B$19))</f>
      </c>
    </row>
    <row r="124">
      <c r="A124" t="inlineStr" s="6">
        <is>
          <t xml:space="preserve"/>
        </is>
      </c>
      <c r="B124" t="inlineStr" s="6">
        <is>
          <t xml:space="preserve"/>
        </is>
      </c>
      <c r="C124" t="inlineStr" s="6">
        <is>
          <t xml:space="preserve"/>
        </is>
      </c>
      <c r="D124" s="9"/>
      <c r="E124" t="inlineStr" s="6">
        <is>
          <t xml:space="preserve"/>
        </is>
      </c>
      <c r="F124" t="inlineStr" s="6">
        <is>
          <t xml:space="preserve"/>
        </is>
      </c>
      <c r="G124" s="7"/>
      <c r="H124" s="9"/>
      <c r="I124" t="inlineStr" s="6">
        <is>
          <t xml:space="preserve"/>
        </is>
      </c>
      <c r="J124" t="inlineStr" s="6">
        <is>
          <t xml:space="preserve"/>
        </is>
      </c>
      <c r="K124" s="10">
        <f>IF(G124="","",G124*(1+'Allgemein'!$B$19))</f>
      </c>
    </row>
    <row r="125">
      <c r="A125" t="inlineStr" s="6">
        <is>
          <t xml:space="preserve"/>
        </is>
      </c>
      <c r="B125" t="inlineStr" s="6">
        <is>
          <t xml:space="preserve"/>
        </is>
      </c>
      <c r="C125" t="inlineStr" s="6">
        <is>
          <t xml:space="preserve"/>
        </is>
      </c>
      <c r="D125" s="9"/>
      <c r="E125" t="inlineStr" s="6">
        <is>
          <t xml:space="preserve"/>
        </is>
      </c>
      <c r="F125" t="inlineStr" s="6">
        <is>
          <t xml:space="preserve"/>
        </is>
      </c>
      <c r="G125" s="7"/>
      <c r="H125" s="9"/>
      <c r="I125" t="inlineStr" s="6">
        <is>
          <t xml:space="preserve"/>
        </is>
      </c>
      <c r="J125" t="inlineStr" s="6">
        <is>
          <t xml:space="preserve"/>
        </is>
      </c>
      <c r="K125" s="10">
        <f>IF(G125="","",G125*(1+'Allgemein'!$B$19))</f>
      </c>
    </row>
    <row r="126">
      <c r="A126" t="inlineStr" s="6">
        <is>
          <t xml:space="preserve"/>
        </is>
      </c>
      <c r="B126" t="inlineStr" s="6">
        <is>
          <t xml:space="preserve"/>
        </is>
      </c>
      <c r="C126" t="inlineStr" s="6">
        <is>
          <t xml:space="preserve"/>
        </is>
      </c>
      <c r="D126" s="9"/>
      <c r="E126" t="inlineStr" s="6">
        <is>
          <t xml:space="preserve"/>
        </is>
      </c>
      <c r="F126" t="inlineStr" s="6">
        <is>
          <t xml:space="preserve"/>
        </is>
      </c>
      <c r="G126" s="7"/>
      <c r="H126" s="9"/>
      <c r="I126" t="inlineStr" s="6">
        <is>
          <t xml:space="preserve"/>
        </is>
      </c>
      <c r="J126" t="inlineStr" s="6">
        <is>
          <t xml:space="preserve"/>
        </is>
      </c>
      <c r="K126" s="10">
        <f>IF(G126="","",G126*(1+'Allgemein'!$B$19))</f>
      </c>
    </row>
    <row r="127">
      <c r="A127" t="inlineStr" s="3">
        <is>
          <t xml:space="preserve">Freie gelbe Zeilen: hier neue Einträge eintragen.</t>
        </is>
      </c>
    </row>
    <row r="129">
      <c r="A129" t="inlineStr" s="2">
        <is>
          <t xml:space="preserve">Multi-Split-Außengeräte</t>
        </is>
      </c>
    </row>
    <row r="130">
      <c r="A130" t="inlineStr" s="4">
        <is>
          <t xml:space="preserve">Aktiv</t>
        </is>
      </c>
      <c r="B130" t="inlineStr" s="4">
        <is>
          <t xml:space="preserve">Hersteller</t>
        </is>
      </c>
      <c r="C130" t="inlineStr" s="4">
        <is>
          <t xml:space="preserve">Modell</t>
        </is>
      </c>
      <c r="D130" t="inlineStr" s="4">
        <is>
          <t xml:space="preserve">Anschlüsse (Stk.)</t>
        </is>
      </c>
      <c r="E130" t="inlineStr" s="4">
        <is>
          <t xml:space="preserve">Leistung (kW)</t>
        </is>
      </c>
      <c r="F130" t="inlineStr" s="4">
        <is>
          <t xml:space="preserve">Nettopreis (€)</t>
        </is>
      </c>
      <c r="G130" t="inlineStr" s="4">
        <is>
          <t xml:space="preserve">Energieklasse Kühlen</t>
        </is>
      </c>
      <c r="H130" t="inlineStr" s="4">
        <is>
          <t xml:space="preserve">Energieklasse Heizen</t>
        </is>
      </c>
      <c r="I130" t="inlineStr" s="4">
        <is>
          <t xml:space="preserve">SEER (–)</t>
        </is>
      </c>
      <c r="J130" t="inlineStr" s="4">
        <is>
          <t xml:space="preserve">SCOP (–)</t>
        </is>
      </c>
      <c r="K130" t="inlineStr" s="4">
        <is>
          <t xml:space="preserve">Kältemittel</t>
        </is>
      </c>
      <c r="L130" t="inlineStr" s="4">
        <is>
          <t xml:space="preserve">Link Energielabel</t>
        </is>
      </c>
      <c r="M130" t="inlineStr" s="4">
        <is>
          <t xml:space="preserve">Link Produktdatenblatt</t>
        </is>
      </c>
      <c r="N130" t="inlineStr" s="4">
        <is>
          <t xml:space="preserve">Bruttopreis (€)</t>
        </is>
      </c>
    </row>
    <row r="131">
      <c r="A131" t="inlineStr" s="6">
        <is>
          <t xml:space="preserve">Ja</t>
        </is>
      </c>
      <c r="B131" t="inlineStr" s="6">
        <is>
          <t xml:space="preserve">Toshiba</t>
        </is>
      </c>
      <c r="C131" t="inlineStr" s="6">
        <is>
          <t xml:space="preserve">RAS-2M10G3AVG-E</t>
        </is>
      </c>
      <c r="D131" s="9">
        <v>2</v>
      </c>
      <c r="E131" s="9">
        <v>3.3</v>
      </c>
      <c r="F131" s="7">
        <v>1390</v>
      </c>
      <c r="G131" t="inlineStr" s="6">
        <is>
          <t xml:space="preserve">A+++</t>
        </is>
      </c>
      <c r="H131" t="inlineStr" s="6">
        <is>
          <t xml:space="preserve">A++</t>
        </is>
      </c>
      <c r="I131" s="9"/>
      <c r="J131" s="9"/>
      <c r="K131" t="inlineStr" s="6">
        <is>
          <t xml:space="preserve">R32</t>
        </is>
      </c>
      <c r="L131" t="inlineStr" s="6">
        <is>
          <t xml:space="preserve"/>
        </is>
      </c>
      <c r="M131" t="inlineStr" s="6">
        <is>
          <t xml:space="preserve">https://www.toshiba-aircondition.com/files/aircond/img/estia/mo/deutsche-fotos-mo/HOME_RAS_Catalog_2026-2027_EN(US)_WEB.pdf#page=35</t>
        </is>
      </c>
      <c r="N131" s="10">
        <f>IF(F131="","",F131*(1+'Allgemein'!$B$19))</f>
      </c>
    </row>
    <row r="132">
      <c r="A132" t="inlineStr" s="6">
        <is>
          <t xml:space="preserve">Ja</t>
        </is>
      </c>
      <c r="B132" t="inlineStr" s="6">
        <is>
          <t xml:space="preserve">Toshiba</t>
        </is>
      </c>
      <c r="C132" t="inlineStr" s="6">
        <is>
          <t xml:space="preserve">RAS-2M14G3AVG-E</t>
        </is>
      </c>
      <c r="D132" s="9">
        <v>2</v>
      </c>
      <c r="E132" s="9">
        <v>4</v>
      </c>
      <c r="F132" s="7">
        <v>1590</v>
      </c>
      <c r="G132" t="inlineStr" s="6">
        <is>
          <t xml:space="preserve">A+++</t>
        </is>
      </c>
      <c r="H132" t="inlineStr" s="6">
        <is>
          <t xml:space="preserve">A++</t>
        </is>
      </c>
      <c r="I132" s="9">
        <v>8.7</v>
      </c>
      <c r="J132" s="9">
        <v>4.8</v>
      </c>
      <c r="K132" t="inlineStr" s="6">
        <is>
          <t xml:space="preserve">R32</t>
        </is>
      </c>
      <c r="L132" t="inlineStr" s="6">
        <is>
          <t xml:space="preserve"/>
        </is>
      </c>
      <c r="M132" t="inlineStr" s="6">
        <is>
          <t xml:space="preserve">https://data.toshiba-klima.at/de/Multisplit%20Next%20R32%20-%204%2C00%20kW%20-%20R32%20-%20Home%20RAS-2M14G3AVG-E%20de.pdf</t>
        </is>
      </c>
      <c r="N132" s="10">
        <f>IF(F132="","",F132*(1+'Allgemein'!$B$19))</f>
      </c>
    </row>
    <row r="133">
      <c r="A133" t="inlineStr" s="6">
        <is>
          <t xml:space="preserve">Ja</t>
        </is>
      </c>
      <c r="B133" t="inlineStr" s="6">
        <is>
          <t xml:space="preserve">Toshiba</t>
        </is>
      </c>
      <c r="C133" t="inlineStr" s="6">
        <is>
          <t xml:space="preserve">RAS-2M18G3AVG-E</t>
        </is>
      </c>
      <c r="D133" s="9">
        <v>2</v>
      </c>
      <c r="E133" s="9">
        <v>5.2</v>
      </c>
      <c r="F133" s="7">
        <v>1790</v>
      </c>
      <c r="G133" t="inlineStr" s="6">
        <is>
          <t xml:space="preserve">A+++</t>
        </is>
      </c>
      <c r="H133" t="inlineStr" s="6">
        <is>
          <t xml:space="preserve">A++</t>
        </is>
      </c>
      <c r="I133" s="9">
        <v>8.7</v>
      </c>
      <c r="J133" s="9">
        <v>4.8</v>
      </c>
      <c r="K133" t="inlineStr" s="6">
        <is>
          <t xml:space="preserve">R32</t>
        </is>
      </c>
      <c r="L133" t="inlineStr" s="6">
        <is>
          <t xml:space="preserve"/>
        </is>
      </c>
      <c r="M133" t="inlineStr" s="6">
        <is>
          <t xml:space="preserve">https://data.toshiba-klima.at/de/Multisplit%20Next%20R32%20-%205%2C20%20kW%20-%20R32%20-%20Home%20RAS-2M18G3AVG-E%20de.pdf</t>
        </is>
      </c>
      <c r="N133" s="10">
        <f>IF(F133="","",F133*(1+'Allgemein'!$B$19))</f>
      </c>
    </row>
    <row r="134">
      <c r="A134" t="inlineStr" s="6">
        <is>
          <t xml:space="preserve">Ja</t>
        </is>
      </c>
      <c r="B134" t="inlineStr" s="6">
        <is>
          <t xml:space="preserve">Toshiba</t>
        </is>
      </c>
      <c r="C134" t="inlineStr" s="6">
        <is>
          <t xml:space="preserve">RAS-3M18G3AVG-E</t>
        </is>
      </c>
      <c r="D134" s="9">
        <v>3</v>
      </c>
      <c r="E134" s="9">
        <v>5.2</v>
      </c>
      <c r="F134" s="7">
        <v>1990</v>
      </c>
      <c r="G134" t="inlineStr" s="6">
        <is>
          <t xml:space="preserve">A+++</t>
        </is>
      </c>
      <c r="H134" t="inlineStr" s="6">
        <is>
          <t xml:space="preserve">A++</t>
        </is>
      </c>
      <c r="I134" s="9">
        <v>8.6</v>
      </c>
      <c r="J134" s="9">
        <v>4.8</v>
      </c>
      <c r="K134" t="inlineStr" s="6">
        <is>
          <t xml:space="preserve">R32</t>
        </is>
      </c>
      <c r="L134" t="inlineStr" s="6">
        <is>
          <t xml:space="preserve"/>
        </is>
      </c>
      <c r="M134" t="inlineStr" s="6">
        <is>
          <t xml:space="preserve">https://data.toshiba-klima.at/de/Multisplit%20Next%20R32%20-%205%2C20%20kW%20-%20R32%20-%20Home%20RAS-3M18G3AVG-E%20de.pdf</t>
        </is>
      </c>
      <c r="N134" s="10">
        <f>IF(F134="","",F134*(1+'Allgemein'!$B$19))</f>
      </c>
    </row>
    <row r="135">
      <c r="A135" t="inlineStr" s="6">
        <is>
          <t xml:space="preserve">Ja</t>
        </is>
      </c>
      <c r="B135" t="inlineStr" s="6">
        <is>
          <t xml:space="preserve">Toshiba</t>
        </is>
      </c>
      <c r="C135" t="inlineStr" s="6">
        <is>
          <t xml:space="preserve">RAS-3M26G3AVG-E</t>
        </is>
      </c>
      <c r="D135" s="9">
        <v>3</v>
      </c>
      <c r="E135" s="9">
        <v>7</v>
      </c>
      <c r="F135" s="7">
        <v>2390</v>
      </c>
      <c r="G135" t="inlineStr" s="6">
        <is>
          <t xml:space="preserve">A+++</t>
        </is>
      </c>
      <c r="H135" t="inlineStr" s="6">
        <is>
          <t xml:space="preserve">A++</t>
        </is>
      </c>
      <c r="I135" s="9">
        <v>8.5</v>
      </c>
      <c r="J135" s="9">
        <v>4.6</v>
      </c>
      <c r="K135" t="inlineStr" s="6">
        <is>
          <t xml:space="preserve">R32</t>
        </is>
      </c>
      <c r="L135" t="inlineStr" s="6">
        <is>
          <t xml:space="preserve"/>
        </is>
      </c>
      <c r="M135" t="inlineStr" s="6">
        <is>
          <t xml:space="preserve">https://data.toshiba-klima.at/de/Multisplit%20Next%20R32%20-%207%2C00%20kW%20-%20R32%20-%20Home%20RAS-3M26G3AVG-E%20de.pdf</t>
        </is>
      </c>
      <c r="N135" s="10">
        <f>IF(F135="","",F135*(1+'Allgemein'!$B$19))</f>
      </c>
    </row>
    <row r="136">
      <c r="A136" t="inlineStr" s="6">
        <is>
          <t xml:space="preserve">Ja</t>
        </is>
      </c>
      <c r="B136" t="inlineStr" s="6">
        <is>
          <t xml:space="preserve">Toshiba</t>
        </is>
      </c>
      <c r="C136" t="inlineStr" s="6">
        <is>
          <t xml:space="preserve">RAS-4M27G3AVG-E</t>
        </is>
      </c>
      <c r="D136" s="9">
        <v>4</v>
      </c>
      <c r="E136" s="9">
        <v>8</v>
      </c>
      <c r="F136" s="7">
        <v>2690</v>
      </c>
      <c r="G136" t="inlineStr" s="6">
        <is>
          <t xml:space="preserve">A++</t>
        </is>
      </c>
      <c r="H136" t="inlineStr" s="6">
        <is>
          <t xml:space="preserve">A++</t>
        </is>
      </c>
      <c r="I136" s="9">
        <v>8.3</v>
      </c>
      <c r="J136" s="9">
        <v>4.5</v>
      </c>
      <c r="K136" t="inlineStr" s="6">
        <is>
          <t xml:space="preserve">R32</t>
        </is>
      </c>
      <c r="L136" t="inlineStr" s="6">
        <is>
          <t xml:space="preserve"/>
        </is>
      </c>
      <c r="M136" t="inlineStr" s="6">
        <is>
          <t xml:space="preserve">https://data.toshiba-klima.at/de/Multisplit%20Next%20R32%20-%208%2C00%20kW%20-%20R32%20-%20Home%20RAS-4M27G3AVG-E%20de.pdf</t>
        </is>
      </c>
      <c r="N136" s="10">
        <f>IF(F136="","",F136*(1+'Allgemein'!$B$19))</f>
      </c>
    </row>
    <row r="137">
      <c r="A137" t="inlineStr" s="6">
        <is>
          <t xml:space="preserve">Ja</t>
        </is>
      </c>
      <c r="B137" t="inlineStr" s="6">
        <is>
          <t xml:space="preserve">Toshiba</t>
        </is>
      </c>
      <c r="C137" t="inlineStr" s="6">
        <is>
          <t xml:space="preserve">RAS-5M34G3AVG-E1</t>
        </is>
      </c>
      <c r="D137" s="9">
        <v>5</v>
      </c>
      <c r="E137" s="9">
        <v>10</v>
      </c>
      <c r="F137" s="7">
        <v>3190</v>
      </c>
      <c r="G137" t="inlineStr" s="6">
        <is>
          <t xml:space="preserve">A++</t>
        </is>
      </c>
      <c r="H137" t="inlineStr" s="6">
        <is>
          <t xml:space="preserve">A++</t>
        </is>
      </c>
      <c r="I137" s="9">
        <v>7.2</v>
      </c>
      <c r="J137" s="9">
        <v>4.3</v>
      </c>
      <c r="K137" t="inlineStr" s="6">
        <is>
          <t xml:space="preserve">R32</t>
        </is>
      </c>
      <c r="L137" t="inlineStr" s="6">
        <is>
          <t xml:space="preserve"/>
        </is>
      </c>
      <c r="M137" t="inlineStr" s="6">
        <is>
          <t xml:space="preserve">https://data.toshiba-klima.at/de/Multisplit%20Next%20R32%20-%2010%2C00%20kW%20-%20R32%20-%20Home%20RAS-5M34G3AVG-E1%20de.pdf</t>
        </is>
      </c>
      <c r="N137" s="10">
        <f>IF(F137="","",F137*(1+'Allgemein'!$B$19))</f>
      </c>
    </row>
    <row r="138">
      <c r="A138" t="inlineStr" s="6">
        <is>
          <t xml:space="preserve">Ja</t>
        </is>
      </c>
      <c r="B138" t="inlineStr" s="6">
        <is>
          <t xml:space="preserve">Daikin</t>
        </is>
      </c>
      <c r="C138" t="inlineStr" s="6">
        <is>
          <t xml:space="preserve">2MXM40A</t>
        </is>
      </c>
      <c r="D138" s="9">
        <v>2</v>
      </c>
      <c r="E138" s="9">
        <v>4</v>
      </c>
      <c r="F138" s="7">
        <v>1690</v>
      </c>
      <c r="G138" t="inlineStr" s="6">
        <is>
          <t xml:space="preserve">–</t>
        </is>
      </c>
      <c r="H138" t="inlineStr" s="6">
        <is>
          <t xml:space="preserve">–</t>
        </is>
      </c>
      <c r="I138" s="9"/>
      <c r="J138" s="9"/>
      <c r="K138" t="inlineStr" s="6">
        <is>
          <t xml:space="preserve">R32</t>
        </is>
      </c>
      <c r="L138" t="inlineStr" s="6">
        <is>
          <t xml:space="preserve"/>
        </is>
      </c>
      <c r="M138" t="inlineStr" s="6">
        <is>
          <t xml:space="preserve">https://www.daikin.de/de_de/produkte/product.table.html/2MXM-A9.html</t>
        </is>
      </c>
      <c r="N138" s="10">
        <f>IF(F138="","",F138*(1+'Allgemein'!$B$19))</f>
      </c>
    </row>
    <row r="139">
      <c r="A139" t="inlineStr" s="6">
        <is>
          <t xml:space="preserve">Ja</t>
        </is>
      </c>
      <c r="B139" t="inlineStr" s="6">
        <is>
          <t xml:space="preserve">Daikin</t>
        </is>
      </c>
      <c r="C139" t="inlineStr" s="6">
        <is>
          <t xml:space="preserve">2MXM50A</t>
        </is>
      </c>
      <c r="D139" s="9">
        <v>2</v>
      </c>
      <c r="E139" s="9">
        <v>5</v>
      </c>
      <c r="F139" s="7">
        <v>1790</v>
      </c>
      <c r="G139" t="inlineStr" s="6">
        <is>
          <t xml:space="preserve">–</t>
        </is>
      </c>
      <c r="H139" t="inlineStr" s="6">
        <is>
          <t xml:space="preserve">–</t>
        </is>
      </c>
      <c r="I139" s="9"/>
      <c r="J139" s="9"/>
      <c r="K139" t="inlineStr" s="6">
        <is>
          <t xml:space="preserve">R32</t>
        </is>
      </c>
      <c r="L139" t="inlineStr" s="6">
        <is>
          <t xml:space="preserve"/>
        </is>
      </c>
      <c r="M139" t="inlineStr" s="6">
        <is>
          <t xml:space="preserve">https://www.daikin.de/de_de/produkte/product.table.html/2MXM-A9.html</t>
        </is>
      </c>
      <c r="N139" s="10">
        <f>IF(F139="","",F139*(1+'Allgemein'!$B$19))</f>
      </c>
    </row>
    <row r="140">
      <c r="A140" t="inlineStr" s="6">
        <is>
          <t xml:space="preserve">Ja</t>
        </is>
      </c>
      <c r="B140" t="inlineStr" s="6">
        <is>
          <t xml:space="preserve">Daikin</t>
        </is>
      </c>
      <c r="C140" t="inlineStr" s="6">
        <is>
          <t xml:space="preserve">3MXM52A</t>
        </is>
      </c>
      <c r="D140" s="9">
        <v>3</v>
      </c>
      <c r="E140" s="9">
        <v>5.2</v>
      </c>
      <c r="F140" s="7">
        <v>2190</v>
      </c>
      <c r="G140" t="inlineStr" s="6">
        <is>
          <t xml:space="preserve">A+++</t>
        </is>
      </c>
      <c r="H140" t="inlineStr" s="6">
        <is>
          <t xml:space="preserve">A+++</t>
        </is>
      </c>
      <c r="I140" s="9">
        <v>8.51</v>
      </c>
      <c r="J140" s="9">
        <v>5.1</v>
      </c>
      <c r="K140" t="inlineStr" s="6">
        <is>
          <t xml:space="preserve">R32</t>
        </is>
      </c>
      <c r="L140" t="inlineStr" s="6">
        <is>
          <t xml:space="preserve"/>
        </is>
      </c>
      <c r="M140" t="inlineStr" s="6">
        <is>
          <t xml:space="preserve">https://www.daikin.de/de_de/produkte/product.table.html/FTXM-A---3MXM-A9.html</t>
        </is>
      </c>
      <c r="N140" s="10">
        <f>IF(F140="","",F140*(1+'Allgemein'!$B$19))</f>
      </c>
    </row>
    <row r="141">
      <c r="A141" t="inlineStr" s="6">
        <is>
          <t xml:space="preserve">Ja</t>
        </is>
      </c>
      <c r="B141" t="inlineStr" s="6">
        <is>
          <t xml:space="preserve">Daikin</t>
        </is>
      </c>
      <c r="C141" t="inlineStr" s="6">
        <is>
          <t xml:space="preserve">3MXM68A</t>
        </is>
      </c>
      <c r="D141" s="9">
        <v>3</v>
      </c>
      <c r="E141" s="9">
        <v>6.8</v>
      </c>
      <c r="F141" s="7">
        <v>2490</v>
      </c>
      <c r="G141" t="inlineStr" s="6">
        <is>
          <t xml:space="preserve">–</t>
        </is>
      </c>
      <c r="H141" t="inlineStr" s="6">
        <is>
          <t xml:space="preserve">–</t>
        </is>
      </c>
      <c r="I141" s="9"/>
      <c r="J141" s="9"/>
      <c r="K141" t="inlineStr" s="6">
        <is>
          <t xml:space="preserve">R32</t>
        </is>
      </c>
      <c r="L141" t="inlineStr" s="6">
        <is>
          <t xml:space="preserve"/>
        </is>
      </c>
      <c r="M141" t="inlineStr" s="6">
        <is>
          <t xml:space="preserve">https://www.daikin.de/de_de/produkte/product.table.html/3MXM-A9.html</t>
        </is>
      </c>
      <c r="N141" s="10">
        <f>IF(F141="","",F141*(1+'Allgemein'!$B$19))</f>
      </c>
    </row>
    <row r="142">
      <c r="A142" t="inlineStr" s="6">
        <is>
          <t xml:space="preserve">Ja</t>
        </is>
      </c>
      <c r="B142" t="inlineStr" s="6">
        <is>
          <t xml:space="preserve">Daikin</t>
        </is>
      </c>
      <c r="C142" t="inlineStr" s="6">
        <is>
          <t xml:space="preserve">4MXM80A</t>
        </is>
      </c>
      <c r="D142" s="9">
        <v>4</v>
      </c>
      <c r="E142" s="9">
        <v>8</v>
      </c>
      <c r="F142" s="7">
        <v>2890</v>
      </c>
      <c r="G142" t="inlineStr" s="6">
        <is>
          <t xml:space="preserve">–</t>
        </is>
      </c>
      <c r="H142" t="inlineStr" s="6">
        <is>
          <t xml:space="preserve">–</t>
        </is>
      </c>
      <c r="I142" s="9"/>
      <c r="J142" s="9"/>
      <c r="K142" t="inlineStr" s="6">
        <is>
          <t xml:space="preserve">R32</t>
        </is>
      </c>
      <c r="L142" t="inlineStr" s="6">
        <is>
          <t xml:space="preserve"/>
        </is>
      </c>
      <c r="M142" t="inlineStr" s="6">
        <is>
          <t xml:space="preserve">https://www.daikin.de/de_de/produkte/product.table.html/4MXM-A9.html</t>
        </is>
      </c>
      <c r="N142" s="10">
        <f>IF(F142="","",F142*(1+'Allgemein'!$B$19))</f>
      </c>
    </row>
    <row r="143">
      <c r="A143" t="inlineStr" s="6">
        <is>
          <t xml:space="preserve">Ja</t>
        </is>
      </c>
      <c r="B143" t="inlineStr" s="6">
        <is>
          <t xml:space="preserve">Daikin</t>
        </is>
      </c>
      <c r="C143" t="inlineStr" s="6">
        <is>
          <t xml:space="preserve">5MXM90A</t>
        </is>
      </c>
      <c r="D143" s="9">
        <v>5</v>
      </c>
      <c r="E143" s="9">
        <v>9</v>
      </c>
      <c r="F143" s="7">
        <v>3290</v>
      </c>
      <c r="G143" t="inlineStr" s="6">
        <is>
          <t xml:space="preserve">–</t>
        </is>
      </c>
      <c r="H143" t="inlineStr" s="6">
        <is>
          <t xml:space="preserve">–</t>
        </is>
      </c>
      <c r="I143" s="9"/>
      <c r="J143" s="9"/>
      <c r="K143" t="inlineStr" s="6">
        <is>
          <t xml:space="preserve">R32</t>
        </is>
      </c>
      <c r="L143" t="inlineStr" s="6">
        <is>
          <t xml:space="preserve"/>
        </is>
      </c>
      <c r="M143" t="inlineStr" s="6">
        <is>
          <t xml:space="preserve">https://www.daikin.de/de_de/produkte/product.table.html/5MXM-A9.html</t>
        </is>
      </c>
      <c r="N143" s="10">
        <f>IF(F143="","",F143*(1+'Allgemein'!$B$19))</f>
      </c>
    </row>
    <row r="144">
      <c r="A144" t="inlineStr" s="6">
        <is>
          <t xml:space="preserve"/>
        </is>
      </c>
      <c r="B144" t="inlineStr" s="6">
        <is>
          <t xml:space="preserve"/>
        </is>
      </c>
      <c r="C144" t="inlineStr" s="6">
        <is>
          <t xml:space="preserve"/>
        </is>
      </c>
      <c r="D144" s="9"/>
      <c r="E144" s="9"/>
      <c r="F144" s="7"/>
      <c r="G144" t="inlineStr" s="6">
        <is>
          <t xml:space="preserve"/>
        </is>
      </c>
      <c r="H144" t="inlineStr" s="6">
        <is>
          <t xml:space="preserve"/>
        </is>
      </c>
      <c r="I144" s="9"/>
      <c r="J144" s="9"/>
      <c r="K144" t="inlineStr" s="6">
        <is>
          <t xml:space="preserve"/>
        </is>
      </c>
      <c r="L144" t="inlineStr" s="6">
        <is>
          <t xml:space="preserve"/>
        </is>
      </c>
      <c r="M144" t="inlineStr" s="6">
        <is>
          <t xml:space="preserve"/>
        </is>
      </c>
      <c r="N144" s="10">
        <f>IF(F144="","",F144*(1+'Allgemein'!$B$19))</f>
      </c>
    </row>
    <row r="145">
      <c r="A145" t="inlineStr" s="6">
        <is>
          <t xml:space="preserve"/>
        </is>
      </c>
      <c r="B145" t="inlineStr" s="6">
        <is>
          <t xml:space="preserve"/>
        </is>
      </c>
      <c r="C145" t="inlineStr" s="6">
        <is>
          <t xml:space="preserve"/>
        </is>
      </c>
      <c r="D145" s="9"/>
      <c r="E145" s="9"/>
      <c r="F145" s="7"/>
      <c r="G145" t="inlineStr" s="6">
        <is>
          <t xml:space="preserve"/>
        </is>
      </c>
      <c r="H145" t="inlineStr" s="6">
        <is>
          <t xml:space="preserve"/>
        </is>
      </c>
      <c r="I145" s="9"/>
      <c r="J145" s="9"/>
      <c r="K145" t="inlineStr" s="6">
        <is>
          <t xml:space="preserve"/>
        </is>
      </c>
      <c r="L145" t="inlineStr" s="6">
        <is>
          <t xml:space="preserve"/>
        </is>
      </c>
      <c r="M145" t="inlineStr" s="6">
        <is>
          <t xml:space="preserve"/>
        </is>
      </c>
      <c r="N145" s="10">
        <f>IF(F145="","",F145*(1+'Allgemein'!$B$19))</f>
      </c>
    </row>
    <row r="146">
      <c r="A146" t="inlineStr" s="6">
        <is>
          <t xml:space="preserve"/>
        </is>
      </c>
      <c r="B146" t="inlineStr" s="6">
        <is>
          <t xml:space="preserve"/>
        </is>
      </c>
      <c r="C146" t="inlineStr" s="6">
        <is>
          <t xml:space="preserve"/>
        </is>
      </c>
      <c r="D146" s="9"/>
      <c r="E146" s="9"/>
      <c r="F146" s="7"/>
      <c r="G146" t="inlineStr" s="6">
        <is>
          <t xml:space="preserve"/>
        </is>
      </c>
      <c r="H146" t="inlineStr" s="6">
        <is>
          <t xml:space="preserve"/>
        </is>
      </c>
      <c r="I146" s="9"/>
      <c r="J146" s="9"/>
      <c r="K146" t="inlineStr" s="6">
        <is>
          <t xml:space="preserve"/>
        </is>
      </c>
      <c r="L146" t="inlineStr" s="6">
        <is>
          <t xml:space="preserve"/>
        </is>
      </c>
      <c r="M146" t="inlineStr" s="6">
        <is>
          <t xml:space="preserve"/>
        </is>
      </c>
      <c r="N146" s="10">
        <f>IF(F146="","",F146*(1+'Allgemein'!$B$19))</f>
      </c>
    </row>
    <row r="147">
      <c r="A147" t="inlineStr" s="6">
        <is>
          <t xml:space="preserve"/>
        </is>
      </c>
      <c r="B147" t="inlineStr" s="6">
        <is>
          <t xml:space="preserve"/>
        </is>
      </c>
      <c r="C147" t="inlineStr" s="6">
        <is>
          <t xml:space="preserve"/>
        </is>
      </c>
      <c r="D147" s="9"/>
      <c r="E147" s="9"/>
      <c r="F147" s="7"/>
      <c r="G147" t="inlineStr" s="6">
        <is>
          <t xml:space="preserve"/>
        </is>
      </c>
      <c r="H147" t="inlineStr" s="6">
        <is>
          <t xml:space="preserve"/>
        </is>
      </c>
      <c r="I147" s="9"/>
      <c r="J147" s="9"/>
      <c r="K147" t="inlineStr" s="6">
        <is>
          <t xml:space="preserve"/>
        </is>
      </c>
      <c r="L147" t="inlineStr" s="6">
        <is>
          <t xml:space="preserve"/>
        </is>
      </c>
      <c r="M147" t="inlineStr" s="6">
        <is>
          <t xml:space="preserve"/>
        </is>
      </c>
      <c r="N147" s="10">
        <f>IF(F147="","",F147*(1+'Allgemein'!$B$19))</f>
      </c>
    </row>
    <row r="148">
      <c r="A148" t="inlineStr" s="6">
        <is>
          <t xml:space="preserve"/>
        </is>
      </c>
      <c r="B148" t="inlineStr" s="6">
        <is>
          <t xml:space="preserve"/>
        </is>
      </c>
      <c r="C148" t="inlineStr" s="6">
        <is>
          <t xml:space="preserve"/>
        </is>
      </c>
      <c r="D148" s="9"/>
      <c r="E148" s="9"/>
      <c r="F148" s="7"/>
      <c r="G148" t="inlineStr" s="6">
        <is>
          <t xml:space="preserve"/>
        </is>
      </c>
      <c r="H148" t="inlineStr" s="6">
        <is>
          <t xml:space="preserve"/>
        </is>
      </c>
      <c r="I148" s="9"/>
      <c r="J148" s="9"/>
      <c r="K148" t="inlineStr" s="6">
        <is>
          <t xml:space="preserve"/>
        </is>
      </c>
      <c r="L148" t="inlineStr" s="6">
        <is>
          <t xml:space="preserve"/>
        </is>
      </c>
      <c r="M148" t="inlineStr" s="6">
        <is>
          <t xml:space="preserve"/>
        </is>
      </c>
      <c r="N148" s="10">
        <f>IF(F148="","",F148*(1+'Allgemein'!$B$19))</f>
      </c>
    </row>
    <row r="149">
      <c r="A149" t="inlineStr" s="3">
        <is>
          <t xml:space="preserve">Freie gelbe Zeilen: hier neue Einträge eintragen.</t>
        </is>
      </c>
    </row>
    <row r="151">
      <c r="A151" t="inlineStr" s="2">
        <is>
          <t xml:space="preserve">Herstellerbroschüren</t>
        </is>
      </c>
    </row>
    <row r="152">
      <c r="A152" t="inlineStr" s="3">
        <is>
          <t xml:space="preserve">Links zu den offiziellen PDF-Katalogen der Hersteller. Der Kunde sieht sie unter den empfohlenen Modellen (hat er einen Hersteller gewählt, nur diesen) und auf jeder Modellkarte. Den Herstellernamen genau so schreiben wie bei den Geräten.</t>
        </is>
      </c>
    </row>
    <row r="153">
      <c r="A153" t="inlineStr" s="4">
        <is>
          <t xml:space="preserve">Aktiv</t>
        </is>
      </c>
      <c r="B153" t="inlineStr" s="4">
        <is>
          <t xml:space="preserve">Hersteller</t>
        </is>
      </c>
      <c r="C153" t="inlineStr" s="4">
        <is>
          <t xml:space="preserve">Titel</t>
        </is>
      </c>
      <c r="D153" t="inlineStr" s="4">
        <is>
          <t xml:space="preserve">Info (z. B. PDF, 44 Seiten)</t>
        </is>
      </c>
      <c r="E153" t="inlineStr" s="4">
        <is>
          <t xml:space="preserve">Link zum PDF</t>
        </is>
      </c>
    </row>
    <row r="154">
      <c r="A154" t="inlineStr" s="6">
        <is>
          <t xml:space="preserve">Ja</t>
        </is>
      </c>
      <c r="B154" t="inlineStr" s="6">
        <is>
          <t xml:space="preserve">Toshiba</t>
        </is>
      </c>
      <c r="C154" t="inlineStr" s="6">
        <is>
          <t xml:space="preserve">HOME – Ihr Zuhause, Ihr Klima · Katalog 2026/2027</t>
        </is>
      </c>
      <c r="D154" t="inlineStr" s="6">
        <is>
          <t xml:space="preserve">PDF, 44 Seiten, ca. 11 MB</t>
        </is>
      </c>
      <c r="E154" t="inlineStr" s="6">
        <is>
          <t xml:space="preserve">https://www.toshiba-aircondition.com/files/aircond/img/estia/mo/deutsche-fotos-mo/HOME_RAS_Catalog_2026-2027_DE_WEB.pdf</t>
        </is>
      </c>
    </row>
    <row r="155">
      <c r="A155" t="inlineStr" s="6">
        <is>
          <t xml:space="preserve">Ja</t>
        </is>
      </c>
      <c r="B155" t="inlineStr" s="6">
        <is>
          <t xml:space="preserve">Daikin</t>
        </is>
      </c>
      <c r="C155" t="inlineStr" s="6">
        <is>
          <t xml:space="preserve">Split-Klimaanlagen Wandgeräte · Produktkatalog (Perfera, Comfora, Multi-Split)</t>
        </is>
      </c>
      <c r="D155" t="inlineStr" s="6">
        <is>
          <t xml:space="preserve">PDF, 32 Seiten · Daikin Österreich</t>
        </is>
      </c>
      <c r="E155" t="inlineStr" s="6">
        <is>
          <t xml:space="preserve">https://www.daikin.at/content/dam/DACE-AT/document-library/broschuren/ac/split/Daikin_Split_Wandgeraete.pdf</t>
        </is>
      </c>
    </row>
    <row r="156">
      <c r="A156" t="inlineStr" s="6">
        <is>
          <t xml:space="preserve">Ja</t>
        </is>
      </c>
      <c r="B156" t="inlineStr" s="6">
        <is>
          <t xml:space="preserve">Mitsubishi Electric</t>
        </is>
      </c>
      <c r="C156" t="inlineStr" s="6">
        <is>
          <t xml:space="preserve">Das Wandgerät MSZ-AY · Broschüre</t>
        </is>
      </c>
      <c r="D156" t="inlineStr" s="6">
        <is>
          <t xml:space="preserve">PDF, ca. 0,6 MB</t>
        </is>
      </c>
      <c r="E156" t="inlineStr" s="6">
        <is>
          <t xml:space="preserve">https://www.mitsubishi-les.com/de-de/dam-upload/daswandgeraetmszaybroschuere.pdf?rev=346288</t>
        </is>
      </c>
    </row>
    <row r="157">
      <c r="A157" t="inlineStr" s="6">
        <is>
          <t xml:space="preserve">Ja</t>
        </is>
      </c>
      <c r="B157" t="inlineStr" s="6">
        <is>
          <t xml:space="preserve">Mitsubishi Electric</t>
        </is>
      </c>
      <c r="C157" t="inlineStr" s="6">
        <is>
          <t xml:space="preserve">M-Serie · Klimageräte für Wohnräume</t>
        </is>
      </c>
      <c r="D157" t="inlineStr" s="6">
        <is>
          <t xml:space="preserve">PDF, ca. 7,6 MB</t>
        </is>
      </c>
      <c r="E157" t="inlineStr" s="6">
        <is>
          <t xml:space="preserve">https://www.mitsubishi-les.com/de-de/dam-upload/broschuere-m-serie.pdf?rev=392094</t>
        </is>
      </c>
    </row>
    <row r="158">
      <c r="A158" t="inlineStr" s="6">
        <is>
          <t xml:space="preserve"/>
        </is>
      </c>
      <c r="B158" t="inlineStr" s="6">
        <is>
          <t xml:space="preserve"/>
        </is>
      </c>
      <c r="C158" t="inlineStr" s="6">
        <is>
          <t xml:space="preserve"/>
        </is>
      </c>
      <c r="D158" t="inlineStr" s="6">
        <is>
          <t xml:space="preserve"/>
        </is>
      </c>
      <c r="E158" t="inlineStr" s="6">
        <is>
          <t xml:space="preserve"/>
        </is>
      </c>
    </row>
    <row r="159">
      <c r="A159" t="inlineStr" s="6">
        <is>
          <t xml:space="preserve"/>
        </is>
      </c>
      <c r="B159" t="inlineStr" s="6">
        <is>
          <t xml:space="preserve"/>
        </is>
      </c>
      <c r="C159" t="inlineStr" s="6">
        <is>
          <t xml:space="preserve"/>
        </is>
      </c>
      <c r="D159" t="inlineStr" s="6">
        <is>
          <t xml:space="preserve"/>
        </is>
      </c>
      <c r="E159" t="inlineStr" s="6">
        <is>
          <t xml:space="preserve"/>
        </is>
      </c>
    </row>
    <row r="160">
      <c r="A160" t="inlineStr" s="6">
        <is>
          <t xml:space="preserve"/>
        </is>
      </c>
      <c r="B160" t="inlineStr" s="6">
        <is>
          <t xml:space="preserve"/>
        </is>
      </c>
      <c r="C160" t="inlineStr" s="6">
        <is>
          <t xml:space="preserve"/>
        </is>
      </c>
      <c r="D160" t="inlineStr" s="6">
        <is>
          <t xml:space="preserve"/>
        </is>
      </c>
      <c r="E160" t="inlineStr" s="6">
        <is>
          <t xml:space="preserve"/>
        </is>
      </c>
    </row>
    <row r="161">
      <c r="A161" t="inlineStr" s="6">
        <is>
          <t xml:space="preserve"/>
        </is>
      </c>
      <c r="B161" t="inlineStr" s="6">
        <is>
          <t xml:space="preserve"/>
        </is>
      </c>
      <c r="C161" t="inlineStr" s="6">
        <is>
          <t xml:space="preserve"/>
        </is>
      </c>
      <c r="D161" t="inlineStr" s="6">
        <is>
          <t xml:space="preserve"/>
        </is>
      </c>
      <c r="E161" t="inlineStr" s="6">
        <is>
          <t xml:space="preserve"/>
        </is>
      </c>
    </row>
    <row r="162">
      <c r="A162" t="inlineStr" s="6">
        <is>
          <t xml:space="preserve"/>
        </is>
      </c>
      <c r="B162" t="inlineStr" s="6">
        <is>
          <t xml:space="preserve"/>
        </is>
      </c>
      <c r="C162" t="inlineStr" s="6">
        <is>
          <t xml:space="preserve"/>
        </is>
      </c>
      <c r="D162" t="inlineStr" s="6">
        <is>
          <t xml:space="preserve"/>
        </is>
      </c>
      <c r="E162" t="inlineStr" s="6">
        <is>
          <t xml:space="preserve"/>
        </is>
      </c>
    </row>
    <row r="163">
      <c r="A163" t="inlineStr" s="3">
        <is>
          <t xml:space="preserve">Freie gelbe Zeilen: hier neue Einträge eintragen.</t>
        </is>
      </c>
    </row>
    <row r="165">
      <c r="A165" t="inlineStr" s="2">
        <is>
          <t xml:space="preserve">Arbeitszeit (Stunden)</t>
        </is>
      </c>
    </row>
    <row r="166">
      <c r="A166" t="inlineStr" s="4">
        <is>
          <t xml:space="preserve">Position</t>
        </is>
      </c>
      <c r="B166" t="inlineStr" s="4">
        <is>
          <t xml:space="preserve">Wert</t>
        </is>
      </c>
      <c r="C166" t="inlineStr" s="4">
        <is>
          <t xml:space="preserve">Einheit</t>
        </is>
      </c>
      <c r="D166" t="inlineStr" s="4">
        <is>
          <t xml:space="preserve">Arbeitslohn netto</t>
        </is>
      </c>
      <c r="E166" t="inlineStr" s="4">
        <is>
          <t xml:space="preserve">Brutto inkl. MwSt.</t>
        </is>
      </c>
    </row>
    <row r="167">
      <c r="A167" t="inlineStr" s="5">
        <is>
          <t xml:space="preserve">Montage Single-Split komplett</t>
        </is>
      </c>
      <c r="B167" s="9">
        <v>6</v>
      </c>
      <c r="C167" t="inlineStr" s="5">
        <is>
          <t xml:space="preserve">Std.</t>
        </is>
      </c>
      <c r="D167" s="10">
        <f>B167*'Allgemein'!$B$17</f>
      </c>
      <c r="E167" s="10">
        <f>D167*(1+'Allgemein'!$B$19)</f>
      </c>
    </row>
    <row r="168">
      <c r="A168" t="inlineStr" s="5">
        <is>
          <t xml:space="preserve">Montage Multi-Split: Grundpauschale</t>
        </is>
      </c>
      <c r="B168" s="9">
        <v>7</v>
      </c>
      <c r="C168" t="inlineStr" s="5">
        <is>
          <t xml:space="preserve">Std.</t>
        </is>
      </c>
      <c r="D168" s="10">
        <f>B168*'Allgemein'!$B$17</f>
      </c>
      <c r="E168" s="10">
        <f>D168*(1+'Allgemein'!$B$19)</f>
      </c>
    </row>
    <row r="169">
      <c r="A169" t="inlineStr" s="5">
        <is>
          <t xml:space="preserve">… je Innengerät</t>
        </is>
      </c>
      <c r="B169" s="9">
        <v>4</v>
      </c>
      <c r="C169" t="inlineStr" s="5">
        <is>
          <t xml:space="preserve">Std.</t>
        </is>
      </c>
      <c r="D169" s="10">
        <f>B169*'Allgemein'!$B$17</f>
      </c>
      <c r="E169" s="10">
        <f>D169*(1+'Allgemein'!$B$19)</f>
      </c>
    </row>
    <row r="170">
      <c r="A170" t="inlineStr" s="5">
        <is>
          <t xml:space="preserve">Mehrlänge Kältemittelleitung, pro Meter</t>
        </is>
      </c>
      <c r="B170" s="9">
        <v>0.25</v>
      </c>
      <c r="C170" t="inlineStr" s="5">
        <is>
          <t xml:space="preserve">Std.</t>
        </is>
      </c>
      <c r="D170" s="10">
        <f>B170*'Allgemein'!$B$17</f>
      </c>
      <c r="E170" s="10">
        <f>D170*(1+'Allgemein'!$B$19)</f>
      </c>
    </row>
    <row r="171">
      <c r="A171" t="inlineStr" s="5">
        <is>
          <t xml:space="preserve">Kernbohrung, pro Loch</t>
        </is>
      </c>
      <c r="B171" s="9">
        <v>0.75</v>
      </c>
      <c r="C171" t="inlineStr" s="5">
        <is>
          <t xml:space="preserve">Std.</t>
        </is>
      </c>
      <c r="D171" s="10">
        <f>B171*'Allgemein'!$B$17</f>
      </c>
      <c r="E171" s="10">
        <f>D171*(1+'Allgemein'!$B$19)</f>
      </c>
    </row>
    <row r="172">
      <c r="A172" t="inlineStr" s="5">
        <is>
          <t xml:space="preserve">Kondensatpumpe, pro Stück</t>
        </is>
      </c>
      <c r="B172" s="9">
        <v>0.5</v>
      </c>
      <c r="C172" t="inlineStr" s="5">
        <is>
          <t xml:space="preserve">Std.</t>
        </is>
      </c>
      <c r="D172" s="10">
        <f>B172*'Allgemein'!$B$17</f>
      </c>
      <c r="E172" s="10">
        <f>D172*(1+'Allgemein'!$B$19)</f>
      </c>
    </row>
    <row r="173">
      <c r="A173" t="inlineStr" s="5">
        <is>
          <t xml:space="preserve">Eigener Stromkreis</t>
        </is>
      </c>
      <c r="B173" s="9">
        <v>2</v>
      </c>
      <c r="C173" t="inlineStr" s="5">
        <is>
          <t xml:space="preserve">Std.</t>
        </is>
      </c>
      <c r="D173" s="10">
        <f>B173*'Allgemein'!$B$17</f>
      </c>
      <c r="E173" s="10">
        <f>D173*(1+'Allgemein'!$B$19)</f>
      </c>
    </row>
    <row r="174">
      <c r="A174" t="inlineStr" s="5">
        <is>
          <t xml:space="preserve">Boden-/Dachkonsole</t>
        </is>
      </c>
      <c r="B174" s="9">
        <v>1</v>
      </c>
      <c r="C174" t="inlineStr" s="5">
        <is>
          <t xml:space="preserve">Std.</t>
        </is>
      </c>
      <c r="D174" s="10">
        <f>B174*'Allgemein'!$B$17</f>
      </c>
      <c r="E174" s="10">
        <f>D174*(1+'Allgemein'!$B$19)</f>
      </c>
    </row>
    <row r="176">
      <c r="A176" t="inlineStr" s="2">
        <is>
          <t xml:space="preserve">Material (netto)</t>
        </is>
      </c>
    </row>
    <row r="177">
      <c r="A177" t="inlineStr" s="4">
        <is>
          <t xml:space="preserve">Position</t>
        </is>
      </c>
      <c r="B177" t="inlineStr" s="4">
        <is>
          <t xml:space="preserve">Wert</t>
        </is>
      </c>
      <c r="C177" t="inlineStr" s="4">
        <is>
          <t xml:space="preserve">Einheit</t>
        </is>
      </c>
      <c r="D177" t="inlineStr" s="4">
        <is>
          <t xml:space="preserve">Arbeitslohn netto</t>
        </is>
      </c>
      <c r="E177" t="inlineStr" s="4">
        <is>
          <t xml:space="preserve">Brutto inkl. MwSt.</t>
        </is>
      </c>
    </row>
    <row r="178">
      <c r="A178" t="inlineStr" s="5">
        <is>
          <t xml:space="preserve">Grundmaterial Single-Split (3 m Leitung, Wandkonsole, Kabelkanal)</t>
        </is>
      </c>
      <c r="B178" s="7">
        <v>190</v>
      </c>
      <c r="C178" t="inlineStr" s="5">
        <is>
          <t xml:space="preserve">€</t>
        </is>
      </c>
      <c r="E178" s="10">
        <f>B178*(1+'Allgemein'!$B$19)</f>
      </c>
    </row>
    <row r="179">
      <c r="A179" t="inlineStr" s="5">
        <is>
          <t xml:space="preserve">Grundmaterial je Multi-Innengerät</t>
        </is>
      </c>
      <c r="B179" s="7">
        <v>150</v>
      </c>
      <c r="C179" t="inlineStr" s="5">
        <is>
          <t xml:space="preserve">€</t>
        </is>
      </c>
      <c r="E179" s="10">
        <f>B179*(1+'Allgemein'!$B$19)</f>
      </c>
    </row>
    <row r="180">
      <c r="A180" t="inlineStr" s="5">
        <is>
          <t xml:space="preserve">Mehrlänge Kältemittelleitung, pro Meter</t>
        </is>
      </c>
      <c r="B180" s="7">
        <v>26</v>
      </c>
      <c r="C180" t="inlineStr" s="5">
        <is>
          <t xml:space="preserve">€</t>
        </is>
      </c>
      <c r="E180" s="10">
        <f>B180*(1+'Allgemein'!$B$19)</f>
      </c>
    </row>
    <row r="181">
      <c r="A181" t="inlineStr" s="5">
        <is>
          <t xml:space="preserve">Bodenkonsole</t>
        </is>
      </c>
      <c r="B181" s="7">
        <v>110</v>
      </c>
      <c r="C181" t="inlineStr" s="5">
        <is>
          <t xml:space="preserve">€</t>
        </is>
      </c>
      <c r="E181" s="10">
        <f>B181*(1+'Allgemein'!$B$19)</f>
      </c>
    </row>
    <row r="182">
      <c r="A182" t="inlineStr" s="5">
        <is>
          <t xml:space="preserve">Flachdachgestell</t>
        </is>
      </c>
      <c r="B182" s="7">
        <v>360</v>
      </c>
      <c r="C182" t="inlineStr" s="5">
        <is>
          <t xml:space="preserve">€</t>
        </is>
      </c>
      <c r="E182" s="10">
        <f>B182*(1+'Allgemein'!$B$19)</f>
      </c>
    </row>
    <row r="183">
      <c r="A183" t="inlineStr" s="5">
        <is>
          <t xml:space="preserve">Kernbohrung, pro Loch</t>
        </is>
      </c>
      <c r="B183" s="7">
        <v>55</v>
      </c>
      <c r="C183" t="inlineStr" s="5">
        <is>
          <t xml:space="preserve">€</t>
        </is>
      </c>
      <c r="E183" s="10">
        <f>B183*(1+'Allgemein'!$B$19)</f>
      </c>
    </row>
    <row r="184">
      <c r="A184" t="inlineStr" s="5">
        <is>
          <t xml:space="preserve">Kondensatpumpe</t>
        </is>
      </c>
      <c r="B184" s="7">
        <v>135</v>
      </c>
      <c r="C184" t="inlineStr" s="5">
        <is>
          <t xml:space="preserve">€</t>
        </is>
      </c>
      <c r="E184" s="10">
        <f>B184*(1+'Allgemein'!$B$19)</f>
      </c>
    </row>
    <row r="185">
      <c r="A185" t="inlineStr" s="5">
        <is>
          <t xml:space="preserve">Eigener Stromkreis (Material)</t>
        </is>
      </c>
      <c r="B185" s="7">
        <v>170</v>
      </c>
      <c r="C185" t="inlineStr" s="5">
        <is>
          <t xml:space="preserve">€</t>
        </is>
      </c>
      <c r="E185" s="10">
        <f>B185*(1+'Allgemein'!$B$19)</f>
      </c>
    </row>
    <row r="187">
      <c r="A187" t="inlineStr" s="2">
        <is>
          <t xml:space="preserve">Sonstiges</t>
        </is>
      </c>
    </row>
    <row r="188">
      <c r="A188" t="inlineStr" s="4">
        <is>
          <t xml:space="preserve">Position</t>
        </is>
      </c>
      <c r="B188" t="inlineStr" s="4">
        <is>
          <t xml:space="preserve">Wert</t>
        </is>
      </c>
      <c r="C188" t="inlineStr" s="4">
        <is>
          <t xml:space="preserve">Einheit</t>
        </is>
      </c>
      <c r="D188" t="inlineStr" s="4">
        <is>
          <t xml:space="preserve">Arbeitslohn netto</t>
        </is>
      </c>
      <c r="E188" t="inlineStr" s="4">
        <is>
          <t xml:space="preserve">Brutto inkl. MwSt.</t>
        </is>
      </c>
    </row>
    <row r="189">
      <c r="A189" t="inlineStr" s="5">
        <is>
          <t xml:space="preserve">Wartungsvertrag pro Jahr (brutto)</t>
        </is>
      </c>
      <c r="B189" s="7">
        <v>149</v>
      </c>
      <c r="C189" t="inlineStr" s="5">
        <is>
          <t xml:space="preserve">€</t>
        </is>
      </c>
    </row>
    <row r="190">
      <c r="A190" t="inlineStr" s="5">
        <is>
          <t xml:space="preserve">Leistung pro m² Raumfläche</t>
        </is>
      </c>
      <c r="B190" s="9">
        <v>0.08</v>
      </c>
      <c r="C190" t="inlineStr" s="5">
        <is>
          <t xml:space="preserve">kW</t>
        </is>
      </c>
    </row>
  </sheetData>
  <dataValidations count="13">
    <dataValidation type="list" allowBlank="1" showErrorMessage="1" sqref="B4">
      <formula1>"Ja,Nein"</formula1>
    </dataValidation>
    <dataValidation type="list" allowBlank="1" showErrorMessage="1" sqref="A9:A57">
      <formula1>"Ja,Nein"</formula1>
    </dataValidation>
    <dataValidation type="list" allowBlank="1" showErrorMessage="1" sqref="E9:E57">
      <formula1>"Standard,Premium"</formula1>
    </dataValidation>
    <dataValidation type="list" allowBlank="1" showErrorMessage="1" sqref="F9:F57">
      <formula1>"Wandgerät,Truhe/Konsole,Kassette,Kanalgerät"</formula1>
    </dataValidation>
    <dataValidation type="list" allowBlank="1" showErrorMessage="1" sqref="H9:H57">
      <formula1>"–,A+++,A++,A+,A,B,C,D"</formula1>
    </dataValidation>
    <dataValidation type="list" allowBlank="1" showErrorMessage="1" sqref="I9:I57">
      <formula1>"–,A+++,A++,A+,A,B,C,D"</formula1>
    </dataValidation>
    <dataValidation type="list" allowBlank="1" showErrorMessage="1" sqref="A63:A126">
      <formula1>"Ja,Nein"</formula1>
    </dataValidation>
    <dataValidation type="list" allowBlank="1" showErrorMessage="1" sqref="E63:E126">
      <formula1>"Standard,Premium"</formula1>
    </dataValidation>
    <dataValidation type="list" allowBlank="1" showErrorMessage="1" sqref="F63:F126">
      <formula1>"Wandgerät,Truhe/Konsole,Kassette,Kanalgerät"</formula1>
    </dataValidation>
    <dataValidation type="list" allowBlank="1" showErrorMessage="1" sqref="A131:A148">
      <formula1>"Ja,Nein"</formula1>
    </dataValidation>
    <dataValidation type="list" allowBlank="1" showErrorMessage="1" sqref="G131:G148">
      <formula1>"–,A+++,A++,A+,A,B,C,D"</formula1>
    </dataValidation>
    <dataValidation type="list" allowBlank="1" showErrorMessage="1" sqref="H131:H148">
      <formula1>"–,A+++,A++,A+,A,B,C,D"</formula1>
    </dataValidation>
    <dataValidation type="list" allowBlank="1" showErrorMessage="1" sqref="A154:A162">
      <formula1>"Ja,Nein"</formula1>
    </dataValidation>
  </dataValidations>
  <pageMargins left="0.5" right="0.5" top="0.6" bottom="0.6" header="0.3" footer="0.3"/>
</worksheet>
</file>

<file path=xl/worksheets/sheet4.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Wärmepumpe</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Geräte (Luft-Wasser-Wärmepumpen)</t>
        </is>
      </c>
    </row>
    <row r="7">
      <c r="A7" t="inlineStr" s="3">
        <is>
          <t xml:space="preserve">Die Website wählt das kleinste Gerät, das die Heizlast deckt; der Kunde kann nach Hersteller filtern.</t>
        </is>
      </c>
    </row>
    <row r="8">
      <c r="A8" t="inlineStr" s="4">
        <is>
          <t xml:space="preserve">Aktiv</t>
        </is>
      </c>
      <c r="B8" t="inlineStr" s="4">
        <is>
          <t xml:space="preserve">Hersteller</t>
        </is>
      </c>
      <c r="C8" t="inlineStr" s="4">
        <is>
          <t xml:space="preserve">Modell</t>
        </is>
      </c>
      <c r="D8" t="inlineStr" s="4">
        <is>
          <t xml:space="preserve">Leistung (kW)</t>
        </is>
      </c>
      <c r="E8" t="inlineStr" s="4">
        <is>
          <t xml:space="preserve">Nettopreis (€)</t>
        </is>
      </c>
      <c r="F8" t="inlineStr" s="4">
        <is>
          <t xml:space="preserve">Energieklasse (55 °C)</t>
        </is>
      </c>
      <c r="G8" t="inlineStr" s="4">
        <is>
          <t xml:space="preserve">Link Energielabel</t>
        </is>
      </c>
      <c r="H8" t="inlineStr" s="4">
        <is>
          <t xml:space="preserve">Link Produktdatenblatt</t>
        </is>
      </c>
      <c r="I8" t="inlineStr" s="4">
        <is>
          <t xml:space="preserve">Bruttopreis (€)</t>
        </is>
      </c>
    </row>
    <row r="9">
      <c r="A9" t="inlineStr" s="6">
        <is>
          <t xml:space="preserve">Ja</t>
        </is>
      </c>
      <c r="B9" t="inlineStr" s="6">
        <is>
          <t xml:space="preserve">Dimplex</t>
        </is>
      </c>
      <c r="C9" t="inlineStr" s="6">
        <is>
          <t xml:space="preserve">System M Comfort Plus 4–6 kW (Split)</t>
        </is>
      </c>
      <c r="D9" s="9">
        <v>6</v>
      </c>
      <c r="E9" s="7">
        <v>8900</v>
      </c>
      <c r="F9" t="inlineStr" s="6">
        <is>
          <t xml:space="preserve">A+++</t>
        </is>
      </c>
      <c r="G9" t="inlineStr" s="6">
        <is>
          <t xml:space="preserve"/>
        </is>
      </c>
      <c r="H9" t="inlineStr" s="6">
        <is>
          <t xml:space="preserve"/>
        </is>
      </c>
      <c r="I9" s="10">
        <f>IF(E9="","",E9*(1+'Allgemein'!$B$19))</f>
      </c>
    </row>
    <row r="10">
      <c r="A10" t="inlineStr" s="6">
        <is>
          <t xml:space="preserve">Ja</t>
        </is>
      </c>
      <c r="B10" t="inlineStr" s="6">
        <is>
          <t xml:space="preserve">Dimplex</t>
        </is>
      </c>
      <c r="C10" t="inlineStr" s="6">
        <is>
          <t xml:space="preserve">LA 9S-TUR (Monoblock außen)</t>
        </is>
      </c>
      <c r="D10" s="9">
        <v>9</v>
      </c>
      <c r="E10" s="7">
        <v>10400</v>
      </c>
      <c r="F10" t="inlineStr" s="6">
        <is>
          <t xml:space="preserve">A+++</t>
        </is>
      </c>
      <c r="G10" t="inlineStr" s="6">
        <is>
          <t xml:space="preserve"/>
        </is>
      </c>
      <c r="H10" t="inlineStr" s="6">
        <is>
          <t xml:space="preserve"/>
        </is>
      </c>
      <c r="I10" s="10">
        <f>IF(E10="","",E10*(1+'Allgemein'!$B$19))</f>
      </c>
    </row>
    <row r="11">
      <c r="A11" t="inlineStr" s="6">
        <is>
          <t xml:space="preserve">Ja</t>
        </is>
      </c>
      <c r="B11" t="inlineStr" s="6">
        <is>
          <t xml:space="preserve">Dimplex</t>
        </is>
      </c>
      <c r="C11" t="inlineStr" s="6">
        <is>
          <t xml:space="preserve">LA 0712C (Monoblock außen)</t>
        </is>
      </c>
      <c r="D11" s="9">
        <v>12</v>
      </c>
      <c r="E11" s="7">
        <v>11900</v>
      </c>
      <c r="F11" t="inlineStr" s="6">
        <is>
          <t xml:space="preserve">A+++</t>
        </is>
      </c>
      <c r="G11" t="inlineStr" s="6">
        <is>
          <t xml:space="preserve"/>
        </is>
      </c>
      <c r="H11" t="inlineStr" s="6">
        <is>
          <t xml:space="preserve"/>
        </is>
      </c>
      <c r="I11" s="10">
        <f>IF(E11="","",E11*(1+'Allgemein'!$B$19))</f>
      </c>
    </row>
    <row r="12">
      <c r="A12" t="inlineStr" s="6">
        <is>
          <t xml:space="preserve">Ja</t>
        </is>
      </c>
      <c r="B12" t="inlineStr" s="6">
        <is>
          <t xml:space="preserve">Dimplex</t>
        </is>
      </c>
      <c r="C12" t="inlineStr" s="6">
        <is>
          <t xml:space="preserve">M Flex 0916HBC (Split, 9–16 kW)</t>
        </is>
      </c>
      <c r="D12" s="9">
        <v>16</v>
      </c>
      <c r="E12" s="7">
        <v>13400</v>
      </c>
      <c r="F12" t="inlineStr" s="6">
        <is>
          <t xml:space="preserve">A+++</t>
        </is>
      </c>
      <c r="G12" t="inlineStr" s="6">
        <is>
          <t xml:space="preserve"/>
        </is>
      </c>
      <c r="H12" t="inlineStr" s="6">
        <is>
          <t xml:space="preserve"/>
        </is>
      </c>
      <c r="I12" s="10">
        <f>IF(E12="","",E12*(1+'Allgemein'!$B$19))</f>
      </c>
    </row>
    <row r="13">
      <c r="A13" t="inlineStr" s="6">
        <is>
          <t xml:space="preserve">Ja</t>
        </is>
      </c>
      <c r="B13" t="inlineStr" s="6">
        <is>
          <t xml:space="preserve">Dimplex</t>
        </is>
      </c>
      <c r="C13" t="inlineStr" s="6">
        <is>
          <t xml:space="preserve">LA 1118C (Monoblock außen)</t>
        </is>
      </c>
      <c r="D13" s="9">
        <v>18</v>
      </c>
      <c r="E13" s="7">
        <v>14900</v>
      </c>
      <c r="F13" t="inlineStr" s="6">
        <is>
          <t xml:space="preserve">A+++</t>
        </is>
      </c>
      <c r="G13" t="inlineStr" s="6">
        <is>
          <t xml:space="preserve"/>
        </is>
      </c>
      <c r="H13" t="inlineStr" s="6">
        <is>
          <t xml:space="preserve"/>
        </is>
      </c>
      <c r="I13" s="10">
        <f>IF(E13="","",E13*(1+'Allgemein'!$B$19))</f>
      </c>
    </row>
    <row r="14">
      <c r="A14" t="inlineStr" s="6">
        <is>
          <t xml:space="preserve"/>
        </is>
      </c>
      <c r="B14" t="inlineStr" s="6">
        <is>
          <t xml:space="preserve"/>
        </is>
      </c>
      <c r="C14" t="inlineStr" s="6">
        <is>
          <t xml:space="preserve"/>
        </is>
      </c>
      <c r="D14" s="9"/>
      <c r="E14" s="7"/>
      <c r="F14" t="inlineStr" s="6">
        <is>
          <t xml:space="preserve"/>
        </is>
      </c>
      <c r="G14" t="inlineStr" s="6">
        <is>
          <t xml:space="preserve"/>
        </is>
      </c>
      <c r="H14" t="inlineStr" s="6">
        <is>
          <t xml:space="preserve"/>
        </is>
      </c>
      <c r="I14" s="10">
        <f>IF(E14="","",E14*(1+'Allgemein'!$B$19))</f>
      </c>
    </row>
    <row r="15">
      <c r="A15" t="inlineStr" s="6">
        <is>
          <t xml:space="preserve"/>
        </is>
      </c>
      <c r="B15" t="inlineStr" s="6">
        <is>
          <t xml:space="preserve"/>
        </is>
      </c>
      <c r="C15" t="inlineStr" s="6">
        <is>
          <t xml:space="preserve"/>
        </is>
      </c>
      <c r="D15" s="9"/>
      <c r="E15" s="7"/>
      <c r="F15" t="inlineStr" s="6">
        <is>
          <t xml:space="preserve"/>
        </is>
      </c>
      <c r="G15" t="inlineStr" s="6">
        <is>
          <t xml:space="preserve"/>
        </is>
      </c>
      <c r="H15" t="inlineStr" s="6">
        <is>
          <t xml:space="preserve"/>
        </is>
      </c>
      <c r="I15" s="10">
        <f>IF(E15="","",E15*(1+'Allgemein'!$B$19))</f>
      </c>
    </row>
    <row r="16">
      <c r="A16" t="inlineStr" s="6">
        <is>
          <t xml:space="preserve"/>
        </is>
      </c>
      <c r="B16" t="inlineStr" s="6">
        <is>
          <t xml:space="preserve"/>
        </is>
      </c>
      <c r="C16" t="inlineStr" s="6">
        <is>
          <t xml:space="preserve"/>
        </is>
      </c>
      <c r="D16" s="9"/>
      <c r="E16" s="7"/>
      <c r="F16" t="inlineStr" s="6">
        <is>
          <t xml:space="preserve"/>
        </is>
      </c>
      <c r="G16" t="inlineStr" s="6">
        <is>
          <t xml:space="preserve"/>
        </is>
      </c>
      <c r="H16" t="inlineStr" s="6">
        <is>
          <t xml:space="preserve"/>
        </is>
      </c>
      <c r="I16" s="10">
        <f>IF(E16="","",E16*(1+'Allgemein'!$B$19))</f>
      </c>
    </row>
    <row r="17">
      <c r="A17" t="inlineStr" s="6">
        <is>
          <t xml:space="preserve"/>
        </is>
      </c>
      <c r="B17" t="inlineStr" s="6">
        <is>
          <t xml:space="preserve"/>
        </is>
      </c>
      <c r="C17" t="inlineStr" s="6">
        <is>
          <t xml:space="preserve"/>
        </is>
      </c>
      <c r="D17" s="9"/>
      <c r="E17" s="7"/>
      <c r="F17" t="inlineStr" s="6">
        <is>
          <t xml:space="preserve"/>
        </is>
      </c>
      <c r="G17" t="inlineStr" s="6">
        <is>
          <t xml:space="preserve"/>
        </is>
      </c>
      <c r="H17" t="inlineStr" s="6">
        <is>
          <t xml:space="preserve"/>
        </is>
      </c>
      <c r="I17" s="10">
        <f>IF(E17="","",E17*(1+'Allgemein'!$B$19))</f>
      </c>
    </row>
    <row r="18">
      <c r="A18" t="inlineStr" s="6">
        <is>
          <t xml:space="preserve"/>
        </is>
      </c>
      <c r="B18" t="inlineStr" s="6">
        <is>
          <t xml:space="preserve"/>
        </is>
      </c>
      <c r="C18" t="inlineStr" s="6">
        <is>
          <t xml:space="preserve"/>
        </is>
      </c>
      <c r="D18" s="9"/>
      <c r="E18" s="7"/>
      <c r="F18" t="inlineStr" s="6">
        <is>
          <t xml:space="preserve"/>
        </is>
      </c>
      <c r="G18" t="inlineStr" s="6">
        <is>
          <t xml:space="preserve"/>
        </is>
      </c>
      <c r="H18" t="inlineStr" s="6">
        <is>
          <t xml:space="preserve"/>
        </is>
      </c>
      <c r="I18" s="10">
        <f>IF(E18="","",E18*(1+'Allgemein'!$B$19))</f>
      </c>
    </row>
    <row r="19">
      <c r="A19" t="inlineStr" s="3">
        <is>
          <t xml:space="preserve">Freie gelbe Zeilen: hier neue Einträge eintragen.</t>
        </is>
      </c>
    </row>
    <row r="21">
      <c r="A21" t="inlineStr" s="2">
        <is>
          <t xml:space="preserve">Arbeitszeit (Stunden)</t>
        </is>
      </c>
    </row>
    <row r="22">
      <c r="A22" t="inlineStr" s="4">
        <is>
          <t xml:space="preserve">Position</t>
        </is>
      </c>
      <c r="B22" t="inlineStr" s="4">
        <is>
          <t xml:space="preserve">Wert</t>
        </is>
      </c>
      <c r="C22" t="inlineStr" s="4">
        <is>
          <t xml:space="preserve">Einheit</t>
        </is>
      </c>
      <c r="D22" t="inlineStr" s="4">
        <is>
          <t xml:space="preserve">Arbeitslohn netto</t>
        </is>
      </c>
      <c r="E22" t="inlineStr" s="4">
        <is>
          <t xml:space="preserve">Brutto inkl. MwSt.</t>
        </is>
      </c>
    </row>
    <row r="23">
      <c r="A23" t="inlineStr" s="5">
        <is>
          <t xml:space="preserve">Montage, hydraulischer Abgleich, Inbetriebnahme</t>
        </is>
      </c>
      <c r="B23" s="9">
        <v>30</v>
      </c>
      <c r="C23" t="inlineStr" s="5">
        <is>
          <t xml:space="preserve">Std.</t>
        </is>
      </c>
      <c r="D23" s="10">
        <f>B23*'Allgemein'!$B$17</f>
      </c>
      <c r="E23" s="10">
        <f>D23*(1+'Allgemein'!$B$19)</f>
      </c>
    </row>
    <row r="24">
      <c r="A24" t="inlineStr" s="5">
        <is>
          <t xml:space="preserve">Demontage Ölkessel</t>
        </is>
      </c>
      <c r="B24" s="9">
        <v>12</v>
      </c>
      <c r="C24" t="inlineStr" s="5">
        <is>
          <t xml:space="preserve">Std.</t>
        </is>
      </c>
      <c r="D24" s="10">
        <f>B24*'Allgemein'!$B$17</f>
      </c>
      <c r="E24" s="10">
        <f>D24*(1+'Allgemein'!$B$19)</f>
      </c>
    </row>
    <row r="25">
      <c r="A25" t="inlineStr" s="5">
        <is>
          <t xml:space="preserve">Demontage Gaskessel</t>
        </is>
      </c>
      <c r="B25" s="9">
        <v>6</v>
      </c>
      <c r="C25" t="inlineStr" s="5">
        <is>
          <t xml:space="preserve">Std.</t>
        </is>
      </c>
      <c r="D25" s="10">
        <f>B25*'Allgemein'!$B$17</f>
      </c>
      <c r="E25" s="10">
        <f>D25*(1+'Allgemein'!$B$19)</f>
      </c>
    </row>
    <row r="26">
      <c r="A26" t="inlineStr" s="5">
        <is>
          <t xml:space="preserve">Demontage Nachtspeicheröfen</t>
        </is>
      </c>
      <c r="B26" s="9">
        <v>10</v>
      </c>
      <c r="C26" t="inlineStr" s="5">
        <is>
          <t xml:space="preserve">Std.</t>
        </is>
      </c>
      <c r="D26" s="10">
        <f>B26*'Allgemein'!$B$17</f>
      </c>
      <c r="E26" s="10">
        <f>D26*(1+'Allgemein'!$B$19)</f>
      </c>
    </row>
    <row r="27">
      <c r="A27" t="inlineStr" s="5">
        <is>
          <t xml:space="preserve">Heizkörpertausch, pro Stück</t>
        </is>
      </c>
      <c r="B27" s="9">
        <v>2.5</v>
      </c>
      <c r="C27" t="inlineStr" s="5">
        <is>
          <t xml:space="preserve">Std.</t>
        </is>
      </c>
      <c r="D27" s="10">
        <f>B27*'Allgemein'!$B$17</f>
      </c>
      <c r="E27" s="10">
        <f>D27*(1+'Allgemein'!$B$19)</f>
      </c>
    </row>
    <row r="28">
      <c r="A28" t="inlineStr" s="5">
        <is>
          <t xml:space="preserve">Zählerschrank</t>
        </is>
      </c>
      <c r="B28" s="9">
        <v>6</v>
      </c>
      <c r="C28" t="inlineStr" s="5">
        <is>
          <t xml:space="preserve">Std.</t>
        </is>
      </c>
      <c r="D28" s="10">
        <f>B28*'Allgemein'!$B$17</f>
      </c>
      <c r="E28" s="10">
        <f>D28*(1+'Allgemein'!$B$19)</f>
      </c>
    </row>
    <row r="30">
      <c r="A30" t="inlineStr" s="2">
        <is>
          <t xml:space="preserve">Material (netto)</t>
        </is>
      </c>
    </row>
    <row r="31">
      <c r="A31" t="inlineStr" s="4">
        <is>
          <t xml:space="preserve">Position</t>
        </is>
      </c>
      <c r="B31" t="inlineStr" s="4">
        <is>
          <t xml:space="preserve">Wert</t>
        </is>
      </c>
      <c r="C31" t="inlineStr" s="4">
        <is>
          <t xml:space="preserve">Einheit</t>
        </is>
      </c>
      <c r="D31" t="inlineStr" s="4">
        <is>
          <t xml:space="preserve">Arbeitslohn netto</t>
        </is>
      </c>
      <c r="E31" t="inlineStr" s="4">
        <is>
          <t xml:space="preserve">Brutto inkl. MwSt.</t>
        </is>
      </c>
    </row>
    <row r="32">
      <c r="A32" t="inlineStr" s="5">
        <is>
          <t xml:space="preserve">Hydraulikpaket (Puffer, Warmwasserspeicher, Anschlüsse)</t>
        </is>
      </c>
      <c r="B32" s="7">
        <v>4200</v>
      </c>
      <c r="C32" t="inlineStr" s="5">
        <is>
          <t xml:space="preserve">€</t>
        </is>
      </c>
      <c r="E32" s="10">
        <f>B32*(1+'Allgemein'!$B$19)</f>
      </c>
    </row>
    <row r="33">
      <c r="A33" t="inlineStr" s="5">
        <is>
          <t xml:space="preserve">Entsorgung Heizöl und Tankreinigung</t>
        </is>
      </c>
      <c r="B33" s="7">
        <v>900</v>
      </c>
      <c r="C33" t="inlineStr" s="5">
        <is>
          <t xml:space="preserve">€</t>
        </is>
      </c>
      <c r="E33" s="10">
        <f>B33*(1+'Allgemein'!$B$19)</f>
      </c>
    </row>
    <row r="34">
      <c r="A34" t="inlineStr" s="5">
        <is>
          <t xml:space="preserve">Entsorgung Gaskessel</t>
        </is>
      </c>
      <c r="B34" s="7">
        <v>150</v>
      </c>
      <c r="C34" t="inlineStr" s="5">
        <is>
          <t xml:space="preserve">€</t>
        </is>
      </c>
      <c r="E34" s="10">
        <f>B34*(1+'Allgemein'!$B$19)</f>
      </c>
    </row>
    <row r="35">
      <c r="A35" t="inlineStr" s="5">
        <is>
          <t xml:space="preserve">Entsorgung Nachtspeicheröfen</t>
        </is>
      </c>
      <c r="B35" s="7">
        <v>350</v>
      </c>
      <c r="C35" t="inlineStr" s="5">
        <is>
          <t xml:space="preserve">€</t>
        </is>
      </c>
      <c r="E35" s="10">
        <f>B35*(1+'Allgemein'!$B$19)</f>
      </c>
    </row>
    <row r="36">
      <c r="A36" t="inlineStr" s="5">
        <is>
          <t xml:space="preserve">Niedertemperatur-Heizkörper</t>
        </is>
      </c>
      <c r="B36" s="7">
        <v>380</v>
      </c>
      <c r="C36" t="inlineStr" s="5">
        <is>
          <t xml:space="preserve">€</t>
        </is>
      </c>
      <c r="E36" s="10">
        <f>B36*(1+'Allgemein'!$B$19)</f>
      </c>
    </row>
    <row r="37">
      <c r="A37" t="inlineStr" s="5">
        <is>
          <t xml:space="preserve">Zählerplatz Wärmepumpe</t>
        </is>
      </c>
      <c r="B37" s="7">
        <v>650</v>
      </c>
      <c r="C37" t="inlineStr" s="5">
        <is>
          <t xml:space="preserve">€</t>
        </is>
      </c>
      <c r="E37" s="10">
        <f>B37*(1+'Allgemein'!$B$19)</f>
      </c>
    </row>
    <row r="39">
      <c r="A39" t="inlineStr" s="2">
        <is>
          <t xml:space="preserve">Berechnung</t>
        </is>
      </c>
    </row>
    <row r="40">
      <c r="A40" t="inlineStr" s="4">
        <is>
          <t xml:space="preserve">Position</t>
        </is>
      </c>
      <c r="B40" t="inlineStr" s="4">
        <is>
          <t xml:space="preserve">Wert</t>
        </is>
      </c>
      <c r="C40" t="inlineStr" s="4">
        <is>
          <t xml:space="preserve">Einheit</t>
        </is>
      </c>
      <c r="D40" t="inlineStr" s="4">
        <is>
          <t xml:space="preserve">Arbeitslohn netto</t>
        </is>
      </c>
      <c r="E40" t="inlineStr" s="4">
        <is>
          <t xml:space="preserve">Brutto inkl. MwSt.</t>
        </is>
      </c>
    </row>
    <row r="41">
      <c r="A41" t="inlineStr" s="5">
        <is>
          <t xml:space="preserve">Warmwasser: Zusatzleistung pro Person</t>
        </is>
      </c>
      <c r="B41" s="9">
        <v>0.25</v>
      </c>
      <c r="C41" t="inlineStr" s="5">
        <is>
          <t xml:space="preserve">kW</t>
        </is>
      </c>
    </row>
  </sheetData>
  <dataValidations count="3">
    <dataValidation type="list" allowBlank="1" showErrorMessage="1" sqref="B4">
      <formula1>"Ja,Nein"</formula1>
    </dataValidation>
    <dataValidation type="list" allowBlank="1" showErrorMessage="1" sqref="A9:A18">
      <formula1>"Ja,Nein"</formula1>
    </dataValidation>
    <dataValidation type="list" allowBlank="1" showErrorMessage="1" sqref="F9:F18">
      <formula1>"–,A+++,A++,A+,A,B,C,D"</formula1>
    </dataValidation>
  </dataValidations>
  <pageMargins left="0.5" right="0.5" top="0.6" bottom="0.6" header="0.3" footer="0.3"/>
</worksheet>
</file>

<file path=xl/worksheets/sheet5.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Photovoltaik</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Module</t>
        </is>
      </c>
    </row>
    <row r="7">
      <c r="A7" t="inlineStr" s="3">
        <is>
          <t xml:space="preserve">Die Website verwendet das erste Modul der Liste. Mit ↑ schieben Sie ein Modul nach oben.</t>
        </is>
      </c>
    </row>
    <row r="8">
      <c r="A8" t="inlineStr" s="4">
        <is>
          <t xml:space="preserve">Aktiv</t>
        </is>
      </c>
      <c r="B8" t="inlineStr" s="4">
        <is>
          <t xml:space="preserve">Hersteller</t>
        </is>
      </c>
      <c r="C8" t="inlineStr" s="4">
        <is>
          <t xml:space="preserve">Modell</t>
        </is>
      </c>
      <c r="D8" t="inlineStr" s="4">
        <is>
          <t xml:space="preserve">Leistung (Wp)</t>
        </is>
      </c>
      <c r="E8" t="inlineStr" s="4">
        <is>
          <t xml:space="preserve">Preis pro Modul (€)</t>
        </is>
      </c>
      <c r="F8" t="inlineStr" s="4">
        <is>
          <t xml:space="preserve">Bruttopreis (€)</t>
        </is>
      </c>
    </row>
    <row r="9">
      <c r="A9" t="inlineStr" s="6">
        <is>
          <t xml:space="preserve">Ja</t>
        </is>
      </c>
      <c r="B9" t="inlineStr" s="6">
        <is>
          <t xml:space="preserve">Aiko</t>
        </is>
      </c>
      <c r="C9" t="inlineStr" s="6">
        <is>
          <t xml:space="preserve">Neostar 2P 450 Wp Glas-Glas</t>
        </is>
      </c>
      <c r="D9" s="9">
        <v>450</v>
      </c>
      <c r="E9" s="7">
        <v>118</v>
      </c>
      <c r="F9" s="10">
        <f>IF(E9="","",E9*(1+'Allgemein'!$B$19))</f>
      </c>
    </row>
    <row r="10">
      <c r="A10" t="inlineStr" s="6">
        <is>
          <t xml:space="preserve">Ja</t>
        </is>
      </c>
      <c r="B10" t="inlineStr" s="6">
        <is>
          <t xml:space="preserve">Meyer Burger</t>
        </is>
      </c>
      <c r="C10" t="inlineStr" s="6">
        <is>
          <t xml:space="preserve">Glass 400 Wp</t>
        </is>
      </c>
      <c r="D10" s="9">
        <v>400</v>
      </c>
      <c r="E10" s="7">
        <v>175</v>
      </c>
      <c r="F10" s="10">
        <f>IF(E10="","",E10*(1+'Allgemein'!$B$19))</f>
      </c>
    </row>
    <row r="11">
      <c r="A11" t="inlineStr" s="6">
        <is>
          <t xml:space="preserve"/>
        </is>
      </c>
      <c r="B11" t="inlineStr" s="6">
        <is>
          <t xml:space="preserve"/>
        </is>
      </c>
      <c r="C11" t="inlineStr" s="6">
        <is>
          <t xml:space="preserve"/>
        </is>
      </c>
      <c r="D11" s="9"/>
      <c r="E11" s="7"/>
      <c r="F11" s="10">
        <f>IF(E11="","",E11*(1+'Allgemein'!$B$19))</f>
      </c>
    </row>
    <row r="12">
      <c r="A12" t="inlineStr" s="6">
        <is>
          <t xml:space="preserve"/>
        </is>
      </c>
      <c r="B12" t="inlineStr" s="6">
        <is>
          <t xml:space="preserve"/>
        </is>
      </c>
      <c r="C12" t="inlineStr" s="6">
        <is>
          <t xml:space="preserve"/>
        </is>
      </c>
      <c r="D12" s="9"/>
      <c r="E12" s="7"/>
      <c r="F12" s="10">
        <f>IF(E12="","",E12*(1+'Allgemein'!$B$19))</f>
      </c>
    </row>
    <row r="13">
      <c r="A13" t="inlineStr" s="6">
        <is>
          <t xml:space="preserve"/>
        </is>
      </c>
      <c r="B13" t="inlineStr" s="6">
        <is>
          <t xml:space="preserve"/>
        </is>
      </c>
      <c r="C13" t="inlineStr" s="6">
        <is>
          <t xml:space="preserve"/>
        </is>
      </c>
      <c r="D13" s="9"/>
      <c r="E13" s="7"/>
      <c r="F13" s="10">
        <f>IF(E13="","",E13*(1+'Allgemein'!$B$19))</f>
      </c>
    </row>
    <row r="14">
      <c r="A14" t="inlineStr" s="6">
        <is>
          <t xml:space="preserve"/>
        </is>
      </c>
      <c r="B14" t="inlineStr" s="6">
        <is>
          <t xml:space="preserve"/>
        </is>
      </c>
      <c r="C14" t="inlineStr" s="6">
        <is>
          <t xml:space="preserve"/>
        </is>
      </c>
      <c r="D14" s="9"/>
      <c r="E14" s="7"/>
      <c r="F14" s="10">
        <f>IF(E14="","",E14*(1+'Allgemein'!$B$19))</f>
      </c>
    </row>
    <row r="15">
      <c r="A15" t="inlineStr" s="6">
        <is>
          <t xml:space="preserve"/>
        </is>
      </c>
      <c r="B15" t="inlineStr" s="6">
        <is>
          <t xml:space="preserve"/>
        </is>
      </c>
      <c r="C15" t="inlineStr" s="6">
        <is>
          <t xml:space="preserve"/>
        </is>
      </c>
      <c r="D15" s="9"/>
      <c r="E15" s="7"/>
      <c r="F15" s="10">
        <f>IF(E15="","",E15*(1+'Allgemein'!$B$19))</f>
      </c>
    </row>
    <row r="16">
      <c r="A16" t="inlineStr" s="3">
        <is>
          <t xml:space="preserve">Freie gelbe Zeilen: hier neue Einträge eintragen.</t>
        </is>
      </c>
    </row>
    <row r="18">
      <c r="A18" t="inlineStr" s="2">
        <is>
          <t xml:space="preserve">Wechselrichter</t>
        </is>
      </c>
    </row>
    <row r="19">
      <c r="A19" t="inlineStr" s="3">
        <is>
          <t xml:space="preserve">Gewählt wird der kleinste Wechselrichter mit mindestens 80 % der Modulleistung.</t>
        </is>
      </c>
    </row>
    <row r="20">
      <c r="A20" t="inlineStr" s="4">
        <is>
          <t xml:space="preserve">Aktiv</t>
        </is>
      </c>
      <c r="B20" t="inlineStr" s="4">
        <is>
          <t xml:space="preserve">Hersteller</t>
        </is>
      </c>
      <c r="C20" t="inlineStr" s="4">
        <is>
          <t xml:space="preserve">Modell</t>
        </is>
      </c>
      <c r="D20" t="inlineStr" s="4">
        <is>
          <t xml:space="preserve">Leistung (kW)</t>
        </is>
      </c>
      <c r="E20" t="inlineStr" s="4">
        <is>
          <t xml:space="preserve">Nettopreis (€)</t>
        </is>
      </c>
      <c r="F20" t="inlineStr" s="4">
        <is>
          <t xml:space="preserve">Bruttopreis (€)</t>
        </is>
      </c>
    </row>
    <row r="21">
      <c r="A21" t="inlineStr" s="6">
        <is>
          <t xml:space="preserve">Ja</t>
        </is>
      </c>
      <c r="B21" t="inlineStr" s="6">
        <is>
          <t xml:space="preserve">Fronius</t>
        </is>
      </c>
      <c r="C21" t="inlineStr" s="6">
        <is>
          <t xml:space="preserve">Primo GEN24 4.0 Plus</t>
        </is>
      </c>
      <c r="D21" s="9">
        <v>4</v>
      </c>
      <c r="E21" s="7">
        <v>1750</v>
      </c>
      <c r="F21" s="10">
        <f>IF(E21="","",E21*(1+'Allgemein'!$B$19))</f>
      </c>
    </row>
    <row r="22">
      <c r="A22" t="inlineStr" s="6">
        <is>
          <t xml:space="preserve">Ja</t>
        </is>
      </c>
      <c r="B22" t="inlineStr" s="6">
        <is>
          <t xml:space="preserve">Fronius</t>
        </is>
      </c>
      <c r="C22" t="inlineStr" s="6">
        <is>
          <t xml:space="preserve">Primo GEN24 6.0 Plus</t>
        </is>
      </c>
      <c r="D22" s="9">
        <v>6</v>
      </c>
      <c r="E22" s="7">
        <v>2050</v>
      </c>
      <c r="F22" s="10">
        <f>IF(E22="","",E22*(1+'Allgemein'!$B$19))</f>
      </c>
    </row>
    <row r="23">
      <c r="A23" t="inlineStr" s="6">
        <is>
          <t xml:space="preserve">Ja</t>
        </is>
      </c>
      <c r="B23" t="inlineStr" s="6">
        <is>
          <t xml:space="preserve">Fronius</t>
        </is>
      </c>
      <c r="C23" t="inlineStr" s="6">
        <is>
          <t xml:space="preserve">Symo GEN24 8.0 Plus</t>
        </is>
      </c>
      <c r="D23" s="9">
        <v>8</v>
      </c>
      <c r="E23" s="7">
        <v>2550</v>
      </c>
      <c r="F23" s="10">
        <f>IF(E23="","",E23*(1+'Allgemein'!$B$19))</f>
      </c>
    </row>
    <row r="24">
      <c r="A24" t="inlineStr" s="6">
        <is>
          <t xml:space="preserve">Ja</t>
        </is>
      </c>
      <c r="B24" t="inlineStr" s="6">
        <is>
          <t xml:space="preserve">Fronius</t>
        </is>
      </c>
      <c r="C24" t="inlineStr" s="6">
        <is>
          <t xml:space="preserve">Symo GEN24 10.0 Plus</t>
        </is>
      </c>
      <c r="D24" s="9">
        <v>10</v>
      </c>
      <c r="E24" s="7">
        <v>2850</v>
      </c>
      <c r="F24" s="10">
        <f>IF(E24="","",E24*(1+'Allgemein'!$B$19))</f>
      </c>
    </row>
    <row r="25">
      <c r="A25" t="inlineStr" s="6">
        <is>
          <t xml:space="preserve">Ja</t>
        </is>
      </c>
      <c r="B25" t="inlineStr" s="6">
        <is>
          <t xml:space="preserve">Fronius</t>
        </is>
      </c>
      <c r="C25" t="inlineStr" s="6">
        <is>
          <t xml:space="preserve">Tauro 15-3-P</t>
        </is>
      </c>
      <c r="D25" s="9">
        <v>15</v>
      </c>
      <c r="E25" s="7">
        <v>3600</v>
      </c>
      <c r="F25" s="10">
        <f>IF(E25="","",E25*(1+'Allgemein'!$B$19))</f>
      </c>
    </row>
    <row r="26">
      <c r="A26" t="inlineStr" s="6">
        <is>
          <t xml:space="preserve"/>
        </is>
      </c>
      <c r="B26" t="inlineStr" s="6">
        <is>
          <t xml:space="preserve"/>
        </is>
      </c>
      <c r="C26" t="inlineStr" s="6">
        <is>
          <t xml:space="preserve"/>
        </is>
      </c>
      <c r="D26" s="9"/>
      <c r="E26" s="7"/>
      <c r="F26" s="10">
        <f>IF(E26="","",E26*(1+'Allgemein'!$B$19))</f>
      </c>
    </row>
    <row r="27">
      <c r="A27" t="inlineStr" s="6">
        <is>
          <t xml:space="preserve"/>
        </is>
      </c>
      <c r="B27" t="inlineStr" s="6">
        <is>
          <t xml:space="preserve"/>
        </is>
      </c>
      <c r="C27" t="inlineStr" s="6">
        <is>
          <t xml:space="preserve"/>
        </is>
      </c>
      <c r="D27" s="9"/>
      <c r="E27" s="7"/>
      <c r="F27" s="10">
        <f>IF(E27="","",E27*(1+'Allgemein'!$B$19))</f>
      </c>
    </row>
    <row r="28">
      <c r="A28" t="inlineStr" s="6">
        <is>
          <t xml:space="preserve"/>
        </is>
      </c>
      <c r="B28" t="inlineStr" s="6">
        <is>
          <t xml:space="preserve"/>
        </is>
      </c>
      <c r="C28" t="inlineStr" s="6">
        <is>
          <t xml:space="preserve"/>
        </is>
      </c>
      <c r="D28" s="9"/>
      <c r="E28" s="7"/>
      <c r="F28" s="10">
        <f>IF(E28="","",E28*(1+'Allgemein'!$B$19))</f>
      </c>
    </row>
    <row r="29">
      <c r="A29" t="inlineStr" s="6">
        <is>
          <t xml:space="preserve"/>
        </is>
      </c>
      <c r="B29" t="inlineStr" s="6">
        <is>
          <t xml:space="preserve"/>
        </is>
      </c>
      <c r="C29" t="inlineStr" s="6">
        <is>
          <t xml:space="preserve"/>
        </is>
      </c>
      <c r="D29" s="9"/>
      <c r="E29" s="7"/>
      <c r="F29" s="10">
        <f>IF(E29="","",E29*(1+'Allgemein'!$B$19))</f>
      </c>
    </row>
    <row r="30">
      <c r="A30" t="inlineStr" s="6">
        <is>
          <t xml:space="preserve"/>
        </is>
      </c>
      <c r="B30" t="inlineStr" s="6">
        <is>
          <t xml:space="preserve"/>
        </is>
      </c>
      <c r="C30" t="inlineStr" s="6">
        <is>
          <t xml:space="preserve"/>
        </is>
      </c>
      <c r="D30" s="9"/>
      <c r="E30" s="7"/>
      <c r="F30" s="10">
        <f>IF(E30="","",E30*(1+'Allgemein'!$B$19))</f>
      </c>
    </row>
    <row r="31">
      <c r="A31" t="inlineStr" s="3">
        <is>
          <t xml:space="preserve">Freie gelbe Zeilen: hier neue Einträge eintragen.</t>
        </is>
      </c>
    </row>
    <row r="33">
      <c r="A33" t="inlineStr" s="2">
        <is>
          <t xml:space="preserve">Speicher</t>
        </is>
      </c>
    </row>
    <row r="34">
      <c r="A34" t="inlineStr" s="3">
        <is>
          <t xml:space="preserve">Der Kunde wählt einen dieser Speicher oder keinen.</t>
        </is>
      </c>
    </row>
    <row r="35">
      <c r="A35" t="inlineStr" s="4">
        <is>
          <t xml:space="preserve">Aktiv</t>
        </is>
      </c>
      <c r="B35" t="inlineStr" s="4">
        <is>
          <t xml:space="preserve">Hersteller</t>
        </is>
      </c>
      <c r="C35" t="inlineStr" s="4">
        <is>
          <t xml:space="preserve">Modell</t>
        </is>
      </c>
      <c r="D35" t="inlineStr" s="4">
        <is>
          <t xml:space="preserve">Kapazität (kWh)</t>
        </is>
      </c>
      <c r="E35" t="inlineStr" s="4">
        <is>
          <t xml:space="preserve">Nettopreis (€)</t>
        </is>
      </c>
      <c r="F35" t="inlineStr" s="4">
        <is>
          <t xml:space="preserve">Bruttopreis (€)</t>
        </is>
      </c>
    </row>
    <row r="36">
      <c r="A36" t="inlineStr" s="6">
        <is>
          <t xml:space="preserve">Ja</t>
        </is>
      </c>
      <c r="B36" t="inlineStr" s="6">
        <is>
          <t xml:space="preserve">BYD</t>
        </is>
      </c>
      <c r="C36" t="inlineStr" s="6">
        <is>
          <t xml:space="preserve">Battery-Box Premium HVS 5.1</t>
        </is>
      </c>
      <c r="D36" s="9">
        <v>5.1</v>
      </c>
      <c r="E36" s="7">
        <v>2950</v>
      </c>
      <c r="F36" s="10">
        <f>IF(E36="","",E36*(1+'Allgemein'!$B$19))</f>
      </c>
    </row>
    <row r="37">
      <c r="A37" t="inlineStr" s="6">
        <is>
          <t xml:space="preserve">Ja</t>
        </is>
      </c>
      <c r="B37" t="inlineStr" s="6">
        <is>
          <t xml:space="preserve">BYD</t>
        </is>
      </c>
      <c r="C37" t="inlineStr" s="6">
        <is>
          <t xml:space="preserve">Battery-Box Premium HVS 7.7</t>
        </is>
      </c>
      <c r="D37" s="9">
        <v>7.7</v>
      </c>
      <c r="E37" s="7">
        <v>4050</v>
      </c>
      <c r="F37" s="10">
        <f>IF(E37="","",E37*(1+'Allgemein'!$B$19))</f>
      </c>
    </row>
    <row r="38">
      <c r="A38" t="inlineStr" s="6">
        <is>
          <t xml:space="preserve">Ja</t>
        </is>
      </c>
      <c r="B38" t="inlineStr" s="6">
        <is>
          <t xml:space="preserve">BYD</t>
        </is>
      </c>
      <c r="C38" t="inlineStr" s="6">
        <is>
          <t xml:space="preserve">Battery-Box Premium HVS 10.2</t>
        </is>
      </c>
      <c r="D38" s="9">
        <v>10.2</v>
      </c>
      <c r="E38" s="7">
        <v>5150</v>
      </c>
      <c r="F38" s="10">
        <f>IF(E38="","",E38*(1+'Allgemein'!$B$19))</f>
      </c>
    </row>
    <row r="39">
      <c r="A39" t="inlineStr" s="6">
        <is>
          <t xml:space="preserve"/>
        </is>
      </c>
      <c r="B39" t="inlineStr" s="6">
        <is>
          <t xml:space="preserve"/>
        </is>
      </c>
      <c r="C39" t="inlineStr" s="6">
        <is>
          <t xml:space="preserve"/>
        </is>
      </c>
      <c r="D39" s="9"/>
      <c r="E39" s="7"/>
      <c r="F39" s="10">
        <f>IF(E39="","",E39*(1+'Allgemein'!$B$19))</f>
      </c>
    </row>
    <row r="40">
      <c r="A40" t="inlineStr" s="6">
        <is>
          <t xml:space="preserve"/>
        </is>
      </c>
      <c r="B40" t="inlineStr" s="6">
        <is>
          <t xml:space="preserve"/>
        </is>
      </c>
      <c r="C40" t="inlineStr" s="6">
        <is>
          <t xml:space="preserve"/>
        </is>
      </c>
      <c r="D40" s="9"/>
      <c r="E40" s="7"/>
      <c r="F40" s="10">
        <f>IF(E40="","",E40*(1+'Allgemein'!$B$19))</f>
      </c>
    </row>
    <row r="41">
      <c r="A41" t="inlineStr" s="6">
        <is>
          <t xml:space="preserve"/>
        </is>
      </c>
      <c r="B41" t="inlineStr" s="6">
        <is>
          <t xml:space="preserve"/>
        </is>
      </c>
      <c r="C41" t="inlineStr" s="6">
        <is>
          <t xml:space="preserve"/>
        </is>
      </c>
      <c r="D41" s="9"/>
      <c r="E41" s="7"/>
      <c r="F41" s="10">
        <f>IF(E41="","",E41*(1+'Allgemein'!$B$19))</f>
      </c>
    </row>
    <row r="42">
      <c r="A42" t="inlineStr" s="6">
        <is>
          <t xml:space="preserve"/>
        </is>
      </c>
      <c r="B42" t="inlineStr" s="6">
        <is>
          <t xml:space="preserve"/>
        </is>
      </c>
      <c r="C42" t="inlineStr" s="6">
        <is>
          <t xml:space="preserve"/>
        </is>
      </c>
      <c r="D42" s="9"/>
      <c r="E42" s="7"/>
      <c r="F42" s="10">
        <f>IF(E42="","",E42*(1+'Allgemein'!$B$19))</f>
      </c>
    </row>
    <row r="43">
      <c r="A43" t="inlineStr" s="6">
        <is>
          <t xml:space="preserve"/>
        </is>
      </c>
      <c r="B43" t="inlineStr" s="6">
        <is>
          <t xml:space="preserve"/>
        </is>
      </c>
      <c r="C43" t="inlineStr" s="6">
        <is>
          <t xml:space="preserve"/>
        </is>
      </c>
      <c r="D43" s="9"/>
      <c r="E43" s="7"/>
      <c r="F43" s="10">
        <f>IF(E43="","",E43*(1+'Allgemein'!$B$19))</f>
      </c>
    </row>
    <row r="44">
      <c r="A44" t="inlineStr" s="3">
        <is>
          <t xml:space="preserve">Freie gelbe Zeilen: hier neue Einträge eintragen.</t>
        </is>
      </c>
    </row>
    <row r="46">
      <c r="A46" t="inlineStr" s="2">
        <is>
          <t xml:space="preserve">Wallbox</t>
        </is>
      </c>
    </row>
    <row r="47">
      <c r="A47" t="inlineStr" s="3">
        <is>
          <t xml:space="preserve">Die Wallbox-Modelle werden im Reiter „Elektroinstallation“ gepflegt (gemeinsame Liste).</t>
        </is>
      </c>
    </row>
    <row r="48">
      <c r="A48" t="inlineStr" s="4">
        <is>
          <t xml:space="preserve">Position</t>
        </is>
      </c>
      <c r="B48" t="inlineStr" s="4">
        <is>
          <t xml:space="preserve">Wert</t>
        </is>
      </c>
      <c r="C48" t="inlineStr" s="4">
        <is>
          <t xml:space="preserve">Einheit</t>
        </is>
      </c>
      <c r="D48" t="inlineStr" s="4">
        <is>
          <t xml:space="preserve">Arbeitslohn netto</t>
        </is>
      </c>
      <c r="E48" t="inlineStr" s="4">
        <is>
          <t xml:space="preserve">Brutto inkl. MwSt.</t>
        </is>
      </c>
    </row>
    <row r="49">
      <c r="A49" t="inlineStr" s="5">
        <is>
          <t xml:space="preserve">Montagestunden Wallbox mit PV</t>
        </is>
      </c>
      <c r="B49" s="9">
        <v>5</v>
      </c>
      <c r="C49" t="inlineStr" s="5">
        <is>
          <t xml:space="preserve">Std.</t>
        </is>
      </c>
      <c r="D49" s="10">
        <f>B49*'Allgemein'!$B$17</f>
      </c>
      <c r="E49" s="10">
        <f>D49*(1+'Allgemein'!$B$19)</f>
      </c>
    </row>
    <row r="51">
      <c r="A51" t="inlineStr" s="2">
        <is>
          <t xml:space="preserve">Arbeitszeit (Stunden)</t>
        </is>
      </c>
    </row>
    <row r="52">
      <c r="A52" t="inlineStr" s="4">
        <is>
          <t xml:space="preserve">Position</t>
        </is>
      </c>
      <c r="B52" t="inlineStr" s="4">
        <is>
          <t xml:space="preserve">Wert</t>
        </is>
      </c>
      <c r="C52" t="inlineStr" s="4">
        <is>
          <t xml:space="preserve">Einheit</t>
        </is>
      </c>
      <c r="D52" t="inlineStr" s="4">
        <is>
          <t xml:space="preserve">Arbeitslohn netto</t>
        </is>
      </c>
      <c r="E52" t="inlineStr" s="4">
        <is>
          <t xml:space="preserve">Brutto inkl. MwSt.</t>
        </is>
      </c>
    </row>
    <row r="53">
      <c r="A53" t="inlineStr" s="5">
        <is>
          <t xml:space="preserve">Montage: Grundpauschale</t>
        </is>
      </c>
      <c r="B53" s="9">
        <v>8</v>
      </c>
      <c r="C53" t="inlineStr" s="5">
        <is>
          <t xml:space="preserve">Std.</t>
        </is>
      </c>
      <c r="D53" s="10">
        <f>B53*'Allgemein'!$B$17</f>
      </c>
      <c r="E53" s="10">
        <f>D53*(1+'Allgemein'!$B$19)</f>
      </c>
    </row>
    <row r="54">
      <c r="A54" t="inlineStr" s="5">
        <is>
          <t xml:space="preserve">… je Modul</t>
        </is>
      </c>
      <c r="B54" s="9">
        <v>0.6</v>
      </c>
      <c r="C54" t="inlineStr" s="5">
        <is>
          <t xml:space="preserve">Std.</t>
        </is>
      </c>
      <c r="D54" s="10">
        <f>B54*'Allgemein'!$B$17</f>
      </c>
      <c r="E54" s="10">
        <f>D54*(1+'Allgemein'!$B$19)</f>
      </c>
    </row>
    <row r="55">
      <c r="A55" t="inlineStr" s="5">
        <is>
          <t xml:space="preserve">Montage Speicher</t>
        </is>
      </c>
      <c r="B55" s="9">
        <v>4</v>
      </c>
      <c r="C55" t="inlineStr" s="5">
        <is>
          <t xml:space="preserve">Std.</t>
        </is>
      </c>
      <c r="D55" s="10">
        <f>B55*'Allgemein'!$B$17</f>
      </c>
      <c r="E55" s="10">
        <f>D55*(1+'Allgemein'!$B$19)</f>
      </c>
    </row>
    <row r="56">
      <c r="A56" t="inlineStr" s="5">
        <is>
          <t xml:space="preserve">Notstromfunktion</t>
        </is>
      </c>
      <c r="B56" s="9">
        <v>4</v>
      </c>
      <c r="C56" t="inlineStr" s="5">
        <is>
          <t xml:space="preserve">Std.</t>
        </is>
      </c>
      <c r="D56" s="10">
        <f>B56*'Allgemein'!$B$17</f>
      </c>
      <c r="E56" s="10">
        <f>D56*(1+'Allgemein'!$B$19)</f>
      </c>
    </row>
    <row r="58">
      <c r="A58" t="inlineStr" s="2">
        <is>
          <t xml:space="preserve">Material (netto)</t>
        </is>
      </c>
    </row>
    <row r="59">
      <c r="A59" t="inlineStr" s="4">
        <is>
          <t xml:space="preserve">Position</t>
        </is>
      </c>
      <c r="B59" t="inlineStr" s="4">
        <is>
          <t xml:space="preserve">Wert</t>
        </is>
      </c>
      <c r="C59" t="inlineStr" s="4">
        <is>
          <t xml:space="preserve">Einheit</t>
        </is>
      </c>
      <c r="D59" t="inlineStr" s="4">
        <is>
          <t xml:space="preserve">Arbeitslohn netto</t>
        </is>
      </c>
      <c r="E59" t="inlineStr" s="4">
        <is>
          <t xml:space="preserve">Brutto inkl. MwSt.</t>
        </is>
      </c>
    </row>
    <row r="60">
      <c r="A60" t="inlineStr" s="5">
        <is>
          <t xml:space="preserve">Unterkonstruktion, pro Modul</t>
        </is>
      </c>
      <c r="B60" s="7">
        <v>48</v>
      </c>
      <c r="C60" t="inlineStr" s="5">
        <is>
          <t xml:space="preserve">€</t>
        </is>
      </c>
      <c r="E60" s="10">
        <f>B60*(1+'Allgemein'!$B$19)</f>
      </c>
    </row>
    <row r="61">
      <c r="A61" t="inlineStr" s="5">
        <is>
          <t xml:space="preserve">DC/AC-Verkabelung, Schutzeinrichtungen, Kleinmaterial</t>
        </is>
      </c>
      <c r="B61" s="7">
        <v>480</v>
      </c>
      <c r="C61" t="inlineStr" s="5">
        <is>
          <t xml:space="preserve">€</t>
        </is>
      </c>
      <c r="E61" s="10">
        <f>B61*(1+'Allgemein'!$B$19)</f>
      </c>
    </row>
    <row r="62">
      <c r="A62" t="inlineStr" s="5">
        <is>
          <t xml:space="preserve">Gerüst / Absturzsicherung</t>
        </is>
      </c>
      <c r="B62" s="7">
        <v>650</v>
      </c>
      <c r="C62" t="inlineStr" s="5">
        <is>
          <t xml:space="preserve">€</t>
        </is>
      </c>
      <c r="E62" s="10">
        <f>B62*(1+'Allgemein'!$B$19)</f>
      </c>
    </row>
    <row r="63">
      <c r="A63" t="inlineStr" s="5">
        <is>
          <t xml:space="preserve">Anpassung Zählerschrank</t>
        </is>
      </c>
      <c r="B63" s="7">
        <v>450</v>
      </c>
      <c r="C63" t="inlineStr" s="5">
        <is>
          <t xml:space="preserve">€</t>
        </is>
      </c>
      <c r="E63" s="10">
        <f>B63*(1+'Allgemein'!$B$19)</f>
      </c>
    </row>
    <row r="64">
      <c r="A64" t="inlineStr" s="5">
        <is>
          <t xml:space="preserve">Anmeldung Netzbetreiber und MaStR</t>
        </is>
      </c>
      <c r="B64" s="7">
        <v>250</v>
      </c>
      <c r="C64" t="inlineStr" s="5">
        <is>
          <t xml:space="preserve">€</t>
        </is>
      </c>
      <c r="E64" s="10">
        <f>B64*(1+'Allgemein'!$B$19)</f>
      </c>
    </row>
    <row r="65">
      <c r="A65" t="inlineStr" s="5">
        <is>
          <t xml:space="preserve">Notstrom-Umschalter</t>
        </is>
      </c>
      <c r="B65" s="7">
        <v>450</v>
      </c>
      <c r="C65" t="inlineStr" s="5">
        <is>
          <t xml:space="preserve">€</t>
        </is>
      </c>
      <c r="E65" s="10">
        <f>B65*(1+'Allgemein'!$B$19)</f>
      </c>
    </row>
    <row r="67">
      <c r="A67" t="inlineStr" s="2">
        <is>
          <t xml:space="preserve">Ertragsberechnung</t>
        </is>
      </c>
    </row>
    <row r="68">
      <c r="A68" t="inlineStr" s="4">
        <is>
          <t xml:space="preserve">Position</t>
        </is>
      </c>
      <c r="B68" t="inlineStr" s="4">
        <is>
          <t xml:space="preserve">Wert</t>
        </is>
      </c>
      <c r="C68" t="inlineStr" s="4">
        <is>
          <t xml:space="preserve">Einheit</t>
        </is>
      </c>
      <c r="D68" t="inlineStr" s="4">
        <is>
          <t xml:space="preserve">Arbeitslohn netto</t>
        </is>
      </c>
      <c r="E68" t="inlineStr" s="4">
        <is>
          <t xml:space="preserve">Brutto inkl. MwSt.</t>
        </is>
      </c>
    </row>
    <row r="69">
      <c r="A69" t="inlineStr" s="5">
        <is>
          <t xml:space="preserve">Jahresertrag pro kWp (Südausrichtung)</t>
        </is>
      </c>
      <c r="B69" s="9">
        <v>950</v>
      </c>
      <c r="C69" t="inlineStr" s="5">
        <is>
          <t xml:space="preserve">kWh</t>
        </is>
      </c>
    </row>
    <row r="70">
      <c r="A70" t="inlineStr" s="5">
        <is>
          <t xml:space="preserve">Strompreis des Kunden</t>
        </is>
      </c>
      <c r="B70" s="14">
        <v>0.35</v>
      </c>
      <c r="C70" t="inlineStr" s="5">
        <is>
          <t xml:space="preserve">€/kWh</t>
        </is>
      </c>
    </row>
    <row r="71">
      <c r="A71" t="inlineStr" s="5">
        <is>
          <t xml:space="preserve">Einspeisevergütung</t>
        </is>
      </c>
      <c r="B71" s="14">
        <v>0.077</v>
      </c>
      <c r="C71" t="inlineStr" s="5">
        <is>
          <t xml:space="preserve">€/kWh</t>
        </is>
      </c>
    </row>
  </sheetData>
  <dataValidations count="4">
    <dataValidation type="list" allowBlank="1" showErrorMessage="1" sqref="B4">
      <formula1>"Ja,Nein"</formula1>
    </dataValidation>
    <dataValidation type="list" allowBlank="1" showErrorMessage="1" sqref="A9:A15">
      <formula1>"Ja,Nein"</formula1>
    </dataValidation>
    <dataValidation type="list" allowBlank="1" showErrorMessage="1" sqref="A21:A30">
      <formula1>"Ja,Nein"</formula1>
    </dataValidation>
    <dataValidation type="list" allowBlank="1" showErrorMessage="1" sqref="A36:A43">
      <formula1>"Ja,Nein"</formula1>
    </dataValidation>
  </dataValidations>
  <pageMargins left="0.5" right="0.5" top="0.6" bottom="0.6" header="0.3" footer="0.3"/>
</worksheet>
</file>

<file path=xl/worksheets/sheet6.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Smart Home</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System Loxone</t>
        </is>
      </c>
    </row>
    <row r="7">
      <c r="A7" t="inlineStr" s="4">
        <is>
          <t xml:space="preserve">Position</t>
        </is>
      </c>
      <c r="B7" t="inlineStr" s="4">
        <is>
          <t xml:space="preserve">Wert</t>
        </is>
      </c>
      <c r="C7" t="inlineStr" s="4">
        <is>
          <t xml:space="preserve">Einheit</t>
        </is>
      </c>
      <c r="D7" t="inlineStr" s="4">
        <is>
          <t xml:space="preserve">Arbeitslohn netto</t>
        </is>
      </c>
      <c r="E7" t="inlineStr" s="4">
        <is>
          <t xml:space="preserve">Brutto inkl. MwSt.</t>
        </is>
      </c>
    </row>
    <row r="8">
      <c r="A8" t="inlineStr" s="5">
        <is>
          <t xml:space="preserve">Bezeichnung im Angebot</t>
        </is>
      </c>
      <c r="B8" t="inlineStr" s="6">
        <is>
          <t xml:space="preserve">Loxone (Miniserver, Tree/Air)</t>
        </is>
      </c>
      <c r="C8" t="inlineStr" s="5">
        <is>
          <t xml:space="preserve"/>
        </is>
      </c>
    </row>
    <row r="9">
      <c r="A9" t="inlineStr" s="5">
        <is>
          <t xml:space="preserve">Zentrale / Grundausstattung – Material</t>
        </is>
      </c>
      <c r="B9" s="7">
        <v>900</v>
      </c>
      <c r="C9" t="inlineStr" s="5">
        <is>
          <t xml:space="preserve">€</t>
        </is>
      </c>
      <c r="E9" s="10">
        <f>B9*(1+'Allgemein'!$B$19)</f>
      </c>
    </row>
    <row r="10">
      <c r="A10" t="inlineStr" s="5">
        <is>
          <t xml:space="preserve">Zentrale / Grundausstattung – Stunden</t>
        </is>
      </c>
      <c r="B10" s="9">
        <v>12</v>
      </c>
      <c r="C10" t="inlineStr" s="5">
        <is>
          <t xml:space="preserve">Std.</t>
        </is>
      </c>
      <c r="D10" s="10">
        <f>B10*'Allgemein'!$B$17</f>
      </c>
      <c r="E10" s="10">
        <f>D10*(1+'Allgemein'!$B$19)</f>
      </c>
    </row>
    <row r="11">
      <c r="A11" t="inlineStr" s="5">
        <is>
          <t xml:space="preserve">Licht, pro Raum – Material</t>
        </is>
      </c>
      <c r="B11" s="7">
        <v>160</v>
      </c>
      <c r="C11" t="inlineStr" s="5">
        <is>
          <t xml:space="preserve">€</t>
        </is>
      </c>
      <c r="E11" s="10">
        <f>B11*(1+'Allgemein'!$B$19)</f>
      </c>
    </row>
    <row r="12">
      <c r="A12" t="inlineStr" s="5">
        <is>
          <t xml:space="preserve">Licht, pro Raum – Stunden</t>
        </is>
      </c>
      <c r="B12" s="9">
        <v>1.5</v>
      </c>
      <c r="C12" t="inlineStr" s="5">
        <is>
          <t xml:space="preserve">Std.</t>
        </is>
      </c>
      <c r="D12" s="10">
        <f>B12*'Allgemein'!$B$17</f>
      </c>
      <c r="E12" s="10">
        <f>D12*(1+'Allgemein'!$B$19)</f>
      </c>
    </row>
    <row r="13">
      <c r="A13" t="inlineStr" s="5">
        <is>
          <t xml:space="preserve">Heizung, pro Raum – Material</t>
        </is>
      </c>
      <c r="B13" s="7">
        <v>120</v>
      </c>
      <c r="C13" t="inlineStr" s="5">
        <is>
          <t xml:space="preserve">€</t>
        </is>
      </c>
      <c r="E13" s="10">
        <f>B13*(1+'Allgemein'!$B$19)</f>
      </c>
    </row>
    <row r="14">
      <c r="A14" t="inlineStr" s="5">
        <is>
          <t xml:space="preserve">Heizung, pro Raum – Stunden</t>
        </is>
      </c>
      <c r="B14" s="9">
        <v>1</v>
      </c>
      <c r="C14" t="inlineStr" s="5">
        <is>
          <t xml:space="preserve">Std.</t>
        </is>
      </c>
      <c r="D14" s="10">
        <f>B14*'Allgemein'!$B$17</f>
      </c>
      <c r="E14" s="10">
        <f>D14*(1+'Allgemein'!$B$19)</f>
      </c>
    </row>
    <row r="15">
      <c r="A15" t="inlineStr" s="5">
        <is>
          <t xml:space="preserve">Rollladen, pro Stück – Material</t>
        </is>
      </c>
      <c r="B15" s="7">
        <v>140</v>
      </c>
      <c r="C15" t="inlineStr" s="5">
        <is>
          <t xml:space="preserve">€</t>
        </is>
      </c>
      <c r="E15" s="10">
        <f>B15*(1+'Allgemein'!$B$19)</f>
      </c>
    </row>
    <row r="16">
      <c r="A16" t="inlineStr" s="5">
        <is>
          <t xml:space="preserve">Rollladen, pro Stück – Stunden</t>
        </is>
      </c>
      <c r="B16" s="9">
        <v>1.5</v>
      </c>
      <c r="C16" t="inlineStr" s="5">
        <is>
          <t xml:space="preserve">Std.</t>
        </is>
      </c>
      <c r="D16" s="10">
        <f>B16*'Allgemein'!$B$17</f>
      </c>
      <c r="E16" s="10">
        <f>D16*(1+'Allgemein'!$B$19)</f>
      </c>
    </row>
    <row r="17">
      <c r="A17" t="inlineStr" s="5">
        <is>
          <t xml:space="preserve">Sicherheitspaket – Material</t>
        </is>
      </c>
      <c r="B17" s="7">
        <v>600</v>
      </c>
      <c r="C17" t="inlineStr" s="5">
        <is>
          <t xml:space="preserve">€</t>
        </is>
      </c>
      <c r="E17" s="10">
        <f>B17*(1+'Allgemein'!$B$19)</f>
      </c>
    </row>
    <row r="18">
      <c r="A18" t="inlineStr" s="5">
        <is>
          <t xml:space="preserve">Sicherheitspaket – Stunden</t>
        </is>
      </c>
      <c r="B18" s="9">
        <v>5</v>
      </c>
      <c r="C18" t="inlineStr" s="5">
        <is>
          <t xml:space="preserve">Std.</t>
        </is>
      </c>
      <c r="D18" s="10">
        <f>B18*'Allgemein'!$B$17</f>
      </c>
      <c r="E18" s="10">
        <f>D18*(1+'Allgemein'!$B$19)</f>
      </c>
    </row>
    <row r="20">
      <c r="A20" t="inlineStr" s="2">
        <is>
          <t xml:space="preserve">System Funk</t>
        </is>
      </c>
    </row>
    <row r="21">
      <c r="A21" t="inlineStr" s="4">
        <is>
          <t xml:space="preserve">Position</t>
        </is>
      </c>
      <c r="B21" t="inlineStr" s="4">
        <is>
          <t xml:space="preserve">Wert</t>
        </is>
      </c>
      <c r="C21" t="inlineStr" s="4">
        <is>
          <t xml:space="preserve">Einheit</t>
        </is>
      </c>
      <c r="D21" t="inlineStr" s="4">
        <is>
          <t xml:space="preserve">Arbeitslohn netto</t>
        </is>
      </c>
      <c r="E21" t="inlineStr" s="4">
        <is>
          <t xml:space="preserve">Brutto inkl. MwSt.</t>
        </is>
      </c>
    </row>
    <row r="22">
      <c r="A22" t="inlineStr" s="5">
        <is>
          <t xml:space="preserve">Bezeichnung im Angebot</t>
        </is>
      </c>
      <c r="B22" t="inlineStr" s="6">
        <is>
          <t xml:space="preserve">Homematic IP (Funk)</t>
        </is>
      </c>
      <c r="C22" t="inlineStr" s="5">
        <is>
          <t xml:space="preserve"/>
        </is>
      </c>
    </row>
    <row r="23">
      <c r="A23" t="inlineStr" s="5">
        <is>
          <t xml:space="preserve">Zentrale / Grundausstattung – Material</t>
        </is>
      </c>
      <c r="B23" s="7">
        <v>180</v>
      </c>
      <c r="C23" t="inlineStr" s="5">
        <is>
          <t xml:space="preserve">€</t>
        </is>
      </c>
      <c r="E23" s="10">
        <f>B23*(1+'Allgemein'!$B$19)</f>
      </c>
    </row>
    <row r="24">
      <c r="A24" t="inlineStr" s="5">
        <is>
          <t xml:space="preserve">Zentrale / Grundausstattung – Stunden</t>
        </is>
      </c>
      <c r="B24" s="9">
        <v>3</v>
      </c>
      <c r="C24" t="inlineStr" s="5">
        <is>
          <t xml:space="preserve">Std.</t>
        </is>
      </c>
      <c r="D24" s="10">
        <f>B24*'Allgemein'!$B$17</f>
      </c>
      <c r="E24" s="10">
        <f>D24*(1+'Allgemein'!$B$19)</f>
      </c>
    </row>
    <row r="25">
      <c r="A25" t="inlineStr" s="5">
        <is>
          <t xml:space="preserve">Licht, pro Raum – Material</t>
        </is>
      </c>
      <c r="B25" s="7">
        <v>75</v>
      </c>
      <c r="C25" t="inlineStr" s="5">
        <is>
          <t xml:space="preserve">€</t>
        </is>
      </c>
      <c r="E25" s="10">
        <f>B25*(1+'Allgemein'!$B$19)</f>
      </c>
    </row>
    <row r="26">
      <c r="A26" t="inlineStr" s="5">
        <is>
          <t xml:space="preserve">Licht, pro Raum – Stunden</t>
        </is>
      </c>
      <c r="B26" s="9">
        <v>1.25</v>
      </c>
      <c r="C26" t="inlineStr" s="5">
        <is>
          <t xml:space="preserve">Std.</t>
        </is>
      </c>
      <c r="D26" s="10">
        <f>B26*'Allgemein'!$B$17</f>
      </c>
      <c r="E26" s="10">
        <f>D26*(1+'Allgemein'!$B$19)</f>
      </c>
    </row>
    <row r="27">
      <c r="A27" t="inlineStr" s="5">
        <is>
          <t xml:space="preserve">Heizung, pro Raum – Material</t>
        </is>
      </c>
      <c r="B27" s="7">
        <v>65</v>
      </c>
      <c r="C27" t="inlineStr" s="5">
        <is>
          <t xml:space="preserve">€</t>
        </is>
      </c>
      <c r="E27" s="10">
        <f>B27*(1+'Allgemein'!$B$19)</f>
      </c>
    </row>
    <row r="28">
      <c r="A28" t="inlineStr" s="5">
        <is>
          <t xml:space="preserve">Heizung, pro Raum – Stunden</t>
        </is>
      </c>
      <c r="B28" s="9">
        <v>0.75</v>
      </c>
      <c r="C28" t="inlineStr" s="5">
        <is>
          <t xml:space="preserve">Std.</t>
        </is>
      </c>
      <c r="D28" s="10">
        <f>B28*'Allgemein'!$B$17</f>
      </c>
      <c r="E28" s="10">
        <f>D28*(1+'Allgemein'!$B$19)</f>
      </c>
    </row>
    <row r="29">
      <c r="A29" t="inlineStr" s="5">
        <is>
          <t xml:space="preserve">Rollladen, pro Stück – Material</t>
        </is>
      </c>
      <c r="B29" s="7">
        <v>70</v>
      </c>
      <c r="C29" t="inlineStr" s="5">
        <is>
          <t xml:space="preserve">€</t>
        </is>
      </c>
      <c r="E29" s="10">
        <f>B29*(1+'Allgemein'!$B$19)</f>
      </c>
    </row>
    <row r="30">
      <c r="A30" t="inlineStr" s="5">
        <is>
          <t xml:space="preserve">Rollladen, pro Stück – Stunden</t>
        </is>
      </c>
      <c r="B30" s="9">
        <v>1.25</v>
      </c>
      <c r="C30" t="inlineStr" s="5">
        <is>
          <t xml:space="preserve">Std.</t>
        </is>
      </c>
      <c r="D30" s="10">
        <f>B30*'Allgemein'!$B$17</f>
      </c>
      <c r="E30" s="10">
        <f>D30*(1+'Allgemein'!$B$19)</f>
      </c>
    </row>
    <row r="31">
      <c r="A31" t="inlineStr" s="5">
        <is>
          <t xml:space="preserve">Sicherheitspaket – Material</t>
        </is>
      </c>
      <c r="B31" s="7">
        <v>450</v>
      </c>
      <c r="C31" t="inlineStr" s="5">
        <is>
          <t xml:space="preserve">€</t>
        </is>
      </c>
      <c r="E31" s="10">
        <f>B31*(1+'Allgemein'!$B$19)</f>
      </c>
    </row>
    <row r="32">
      <c r="A32" t="inlineStr" s="5">
        <is>
          <t xml:space="preserve">Sicherheitspaket – Stunden</t>
        </is>
      </c>
      <c r="B32" s="9">
        <v>4</v>
      </c>
      <c r="C32" t="inlineStr" s="5">
        <is>
          <t xml:space="preserve">Std.</t>
        </is>
      </c>
      <c r="D32" s="10">
        <f>B32*'Allgemein'!$B$17</f>
      </c>
      <c r="E32" s="10">
        <f>D32*(1+'Allgemein'!$B$19)</f>
      </c>
    </row>
    <row r="34">
      <c r="A34" t="inlineStr" s="2">
        <is>
          <t xml:space="preserve">System KNX</t>
        </is>
      </c>
    </row>
    <row r="35">
      <c r="A35" t="inlineStr" s="4">
        <is>
          <t xml:space="preserve">Position</t>
        </is>
      </c>
      <c r="B35" t="inlineStr" s="4">
        <is>
          <t xml:space="preserve">Wert</t>
        </is>
      </c>
      <c r="C35" t="inlineStr" s="4">
        <is>
          <t xml:space="preserve">Einheit</t>
        </is>
      </c>
      <c r="D35" t="inlineStr" s="4">
        <is>
          <t xml:space="preserve">Arbeitslohn netto</t>
        </is>
      </c>
      <c r="E35" t="inlineStr" s="4">
        <is>
          <t xml:space="preserve">Brutto inkl. MwSt.</t>
        </is>
      </c>
    </row>
    <row r="36">
      <c r="A36" t="inlineStr" s="5">
        <is>
          <t xml:space="preserve">Bezeichnung im Angebot</t>
        </is>
      </c>
      <c r="B36" t="inlineStr" s="6">
        <is>
          <t xml:space="preserve">KNX (Gira / ABB)</t>
        </is>
      </c>
      <c r="C36" t="inlineStr" s="5">
        <is>
          <t xml:space="preserve"/>
        </is>
      </c>
    </row>
    <row r="37">
      <c r="A37" t="inlineStr" s="5">
        <is>
          <t xml:space="preserve">Zentrale / Grundausstattung – Material</t>
        </is>
      </c>
      <c r="B37" s="7">
        <v>1300</v>
      </c>
      <c r="C37" t="inlineStr" s="5">
        <is>
          <t xml:space="preserve">€</t>
        </is>
      </c>
      <c r="E37" s="10">
        <f>B37*(1+'Allgemein'!$B$19)</f>
      </c>
    </row>
    <row r="38">
      <c r="A38" t="inlineStr" s="5">
        <is>
          <t xml:space="preserve">Zentrale / Grundausstattung – Stunden</t>
        </is>
      </c>
      <c r="B38" s="9">
        <v>14</v>
      </c>
      <c r="C38" t="inlineStr" s="5">
        <is>
          <t xml:space="preserve">Std.</t>
        </is>
      </c>
      <c r="D38" s="10">
        <f>B38*'Allgemein'!$B$17</f>
      </c>
      <c r="E38" s="10">
        <f>D38*(1+'Allgemein'!$B$19)</f>
      </c>
    </row>
    <row r="39">
      <c r="A39" t="inlineStr" s="5">
        <is>
          <t xml:space="preserve">Licht, pro Raum – Material</t>
        </is>
      </c>
      <c r="B39" s="7">
        <v>180</v>
      </c>
      <c r="C39" t="inlineStr" s="5">
        <is>
          <t xml:space="preserve">€</t>
        </is>
      </c>
      <c r="E39" s="10">
        <f>B39*(1+'Allgemein'!$B$19)</f>
      </c>
    </row>
    <row r="40">
      <c r="A40" t="inlineStr" s="5">
        <is>
          <t xml:space="preserve">Licht, pro Raum – Stunden</t>
        </is>
      </c>
      <c r="B40" s="9">
        <v>2</v>
      </c>
      <c r="C40" t="inlineStr" s="5">
        <is>
          <t xml:space="preserve">Std.</t>
        </is>
      </c>
      <c r="D40" s="10">
        <f>B40*'Allgemein'!$B$17</f>
      </c>
      <c r="E40" s="10">
        <f>D40*(1+'Allgemein'!$B$19)</f>
      </c>
    </row>
    <row r="41">
      <c r="A41" t="inlineStr" s="5">
        <is>
          <t xml:space="preserve">Heizung, pro Raum – Material</t>
        </is>
      </c>
      <c r="B41" s="7">
        <v>140</v>
      </c>
      <c r="C41" t="inlineStr" s="5">
        <is>
          <t xml:space="preserve">€</t>
        </is>
      </c>
      <c r="E41" s="10">
        <f>B41*(1+'Allgemein'!$B$19)</f>
      </c>
    </row>
    <row r="42">
      <c r="A42" t="inlineStr" s="5">
        <is>
          <t xml:space="preserve">Heizung, pro Raum – Stunden</t>
        </is>
      </c>
      <c r="B42" s="9">
        <v>1.5</v>
      </c>
      <c r="C42" t="inlineStr" s="5">
        <is>
          <t xml:space="preserve">Std.</t>
        </is>
      </c>
      <c r="D42" s="10">
        <f>B42*'Allgemein'!$B$17</f>
      </c>
      <c r="E42" s="10">
        <f>D42*(1+'Allgemein'!$B$19)</f>
      </c>
    </row>
    <row r="43">
      <c r="A43" t="inlineStr" s="5">
        <is>
          <t xml:space="preserve">Rollladen, pro Stück – Material</t>
        </is>
      </c>
      <c r="B43" s="7">
        <v>150</v>
      </c>
      <c r="C43" t="inlineStr" s="5">
        <is>
          <t xml:space="preserve">€</t>
        </is>
      </c>
      <c r="E43" s="10">
        <f>B43*(1+'Allgemein'!$B$19)</f>
      </c>
    </row>
    <row r="44">
      <c r="A44" t="inlineStr" s="5">
        <is>
          <t xml:space="preserve">Rollladen, pro Stück – Stunden</t>
        </is>
      </c>
      <c r="B44" s="9">
        <v>1.75</v>
      </c>
      <c r="C44" t="inlineStr" s="5">
        <is>
          <t xml:space="preserve">Std.</t>
        </is>
      </c>
      <c r="D44" s="10">
        <f>B44*'Allgemein'!$B$17</f>
      </c>
      <c r="E44" s="10">
        <f>D44*(1+'Allgemein'!$B$19)</f>
      </c>
    </row>
    <row r="45">
      <c r="A45" t="inlineStr" s="5">
        <is>
          <t xml:space="preserve">Sicherheitspaket – Material</t>
        </is>
      </c>
      <c r="B45" s="7">
        <v>700</v>
      </c>
      <c r="C45" t="inlineStr" s="5">
        <is>
          <t xml:space="preserve">€</t>
        </is>
      </c>
      <c r="E45" s="10">
        <f>B45*(1+'Allgemein'!$B$19)</f>
      </c>
    </row>
    <row r="46">
      <c r="A46" t="inlineStr" s="5">
        <is>
          <t xml:space="preserve">Sicherheitspaket – Stunden</t>
        </is>
      </c>
      <c r="B46" s="9">
        <v>7</v>
      </c>
      <c r="C46" t="inlineStr" s="5">
        <is>
          <t xml:space="preserve">Std.</t>
        </is>
      </c>
      <c r="D46" s="10">
        <f>B46*'Allgemein'!$B$17</f>
      </c>
      <c r="E46" s="10">
        <f>D46*(1+'Allgemein'!$B$19)</f>
      </c>
    </row>
  </sheetData>
  <dataValidations count="1">
    <dataValidation type="list" allowBlank="1" showErrorMessage="1" sqref="B4">
      <formula1>"Ja,Nein"</formula1>
    </dataValidation>
  </dataValidations>
  <pageMargins left="0.5" right="0.5" top="0.6" bottom="0.6" header="0.3" footer="0.3"/>
</worksheet>
</file>

<file path=xl/worksheets/sheet7.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Hausgeräte</t>
        </is>
      </c>
    </row>
    <row r="2">
      <c r="A2" t="inlineStr" s="3">
        <is>
          <t xml:space="preserve">Preise BRUTTO (inkl. MwSt.). Gelbe Zellen ändern, freie Zeilen für neue Produkte nutzen.</t>
        </is>
      </c>
    </row>
    <row r="4">
      <c r="A4" t="inlineStr" s="5">
        <is>
          <t xml:space="preserve">Auf der Website sichtbar</t>
        </is>
      </c>
      <c r="B4" t="inlineStr" s="6">
        <is>
          <t xml:space="preserve">Ja</t>
        </is>
      </c>
    </row>
    <row r="6">
      <c r="A6" t="inlineStr" s="2">
        <is>
          <t xml:space="preserve">Partner / Marken</t>
        </is>
      </c>
    </row>
    <row r="7">
      <c r="A7" t="inlineStr" s="3">
        <is>
          <t xml:space="preserve">Ausgeschaltete Marken verschwinden mitsamt ihren Produkten aus der Online-Bestellung.</t>
        </is>
      </c>
    </row>
    <row r="8">
      <c r="A8" t="inlineStr" s="4">
        <is>
          <t xml:space="preserve">Aktiv</t>
        </is>
      </c>
      <c r="B8" t="inlineStr" s="4">
        <is>
          <t xml:space="preserve">Name</t>
        </is>
      </c>
    </row>
    <row r="9">
      <c r="A9" t="inlineStr" s="6">
        <is>
          <t xml:space="preserve">Ja</t>
        </is>
      </c>
      <c r="B9" t="inlineStr" s="6">
        <is>
          <t xml:space="preserve">Siemens Hausgeräte</t>
        </is>
      </c>
    </row>
    <row r="10">
      <c r="A10" t="inlineStr" s="6">
        <is>
          <t xml:space="preserve">Ja</t>
        </is>
      </c>
      <c r="B10" t="inlineStr" s="6">
        <is>
          <t xml:space="preserve">Miele</t>
        </is>
      </c>
    </row>
    <row r="11">
      <c r="A11" t="inlineStr" s="6">
        <is>
          <t xml:space="preserve">Ja</t>
        </is>
      </c>
      <c r="B11" t="inlineStr" s="6">
        <is>
          <t xml:space="preserve">Liebherr</t>
        </is>
      </c>
    </row>
    <row r="12">
      <c r="A12" t="inlineStr" s="6">
        <is>
          <t xml:space="preserve"/>
        </is>
      </c>
      <c r="B12" t="inlineStr" s="6">
        <is>
          <t xml:space="preserve"/>
        </is>
      </c>
    </row>
    <row r="13">
      <c r="A13" t="inlineStr" s="6">
        <is>
          <t xml:space="preserve"/>
        </is>
      </c>
      <c r="B13" t="inlineStr" s="6">
        <is>
          <t xml:space="preserve"/>
        </is>
      </c>
    </row>
    <row r="14">
      <c r="A14" t="inlineStr" s="6">
        <is>
          <t xml:space="preserve"/>
        </is>
      </c>
      <c r="B14" t="inlineStr" s="6">
        <is>
          <t xml:space="preserve"/>
        </is>
      </c>
    </row>
    <row r="15">
      <c r="A15" t="inlineStr" s="6">
        <is>
          <t xml:space="preserve"/>
        </is>
      </c>
      <c r="B15" t="inlineStr" s="6">
        <is>
          <t xml:space="preserve"/>
        </is>
      </c>
    </row>
    <row r="16">
      <c r="A16" t="inlineStr" s="6">
        <is>
          <t xml:space="preserve"/>
        </is>
      </c>
      <c r="B16" t="inlineStr" s="6">
        <is>
          <t xml:space="preserve"/>
        </is>
      </c>
    </row>
    <row r="17">
      <c r="A17" t="inlineStr" s="3">
        <is>
          <t xml:space="preserve">Freie gelbe Zeilen: hier neue Einträge eintragen.</t>
        </is>
      </c>
    </row>
    <row r="19">
      <c r="A19" t="inlineStr" s="2">
        <is>
          <t xml:space="preserve">Produkte</t>
        </is>
      </c>
    </row>
    <row r="20">
      <c r="A20" t="inlineStr" s="3">
        <is>
          <t xml:space="preserve">Preise BRUTTO (inkl. MwSt.) wie im Laden. Bild am besten quadratisch mit weißem Hintergrund; es wird automatisch verkleinert.</t>
        </is>
      </c>
    </row>
    <row r="21">
      <c r="A21" t="inlineStr" s="4">
        <is>
          <t xml:space="preserve">Aktiv</t>
        </is>
      </c>
      <c r="B21" t="inlineStr" s="4">
        <is>
          <t xml:space="preserve">Hersteller</t>
        </is>
      </c>
      <c r="C21" t="inlineStr" s="4">
        <is>
          <t xml:space="preserve">Kategorie</t>
        </is>
      </c>
      <c r="D21" t="inlineStr" s="4">
        <is>
          <t xml:space="preserve">Modell</t>
        </is>
      </c>
      <c r="E21" t="inlineStr" s="4">
        <is>
          <t xml:space="preserve">Kurzbeschreibung</t>
        </is>
      </c>
      <c r="F21" t="inlineStr" s="4">
        <is>
          <t xml:space="preserve">Bruttopreis (€)</t>
        </is>
      </c>
      <c r="G21" t="inlineStr" s="4">
        <is>
          <t xml:space="preserve">Anschluss/Montage brutto (€)</t>
        </is>
      </c>
      <c r="H21" t="inlineStr" s="4">
        <is>
          <t xml:space="preserve">Energieklasse</t>
        </is>
      </c>
      <c r="I21" t="inlineStr" s="4">
        <is>
          <t xml:space="preserve">Label-Skala</t>
        </is>
      </c>
      <c r="J21" t="inlineStr" s="4">
        <is>
          <t xml:space="preserve">Link Energielabel</t>
        </is>
      </c>
      <c r="K21" t="inlineStr" s="4">
        <is>
          <t xml:space="preserve">Link Produktdatenblatt</t>
        </is>
      </c>
    </row>
    <row r="22">
      <c r="A22" t="inlineStr" s="6">
        <is>
          <t xml:space="preserve">Ja</t>
        </is>
      </c>
      <c r="B22" t="inlineStr" s="6">
        <is>
          <t xml:space="preserve">Siemens Hausgeräte</t>
        </is>
      </c>
      <c r="C22" t="inlineStr" s="6">
        <is>
          <t xml:space="preserve">Waschmaschine</t>
        </is>
      </c>
      <c r="D22" t="inlineStr" s="6">
        <is>
          <t xml:space="preserve">iQ300 Waschmaschine 8 kg</t>
        </is>
      </c>
      <c r="E22" t="inlineStr" s="6">
        <is>
          <t xml:space="preserve">Beispielprodukt – Ausstattung und Preis folgen</t>
        </is>
      </c>
      <c r="F22" s="7">
        <v>599</v>
      </c>
      <c r="G22" s="7">
        <v>49</v>
      </c>
      <c r="H22" t="inlineStr" s="6">
        <is>
          <t xml:space="preserve">A</t>
        </is>
      </c>
      <c r="I22" t="inlineStr" s="6">
        <is>
          <t xml:space="preserve">A–G (nuova)</t>
        </is>
      </c>
      <c r="J22" t="inlineStr" s="6">
        <is>
          <t xml:space="preserve"/>
        </is>
      </c>
      <c r="K22" t="inlineStr" s="6">
        <is>
          <t xml:space="preserve"/>
        </is>
      </c>
    </row>
    <row r="23">
      <c r="A23" t="inlineStr" s="6">
        <is>
          <t xml:space="preserve">Ja</t>
        </is>
      </c>
      <c r="B23" t="inlineStr" s="6">
        <is>
          <t xml:space="preserve">Siemens Hausgeräte</t>
        </is>
      </c>
      <c r="C23" t="inlineStr" s="6">
        <is>
          <t xml:space="preserve">Waschmaschine</t>
        </is>
      </c>
      <c r="D23" t="inlineStr" s="6">
        <is>
          <t xml:space="preserve">iQ500 Waschmaschine 9 kg</t>
        </is>
      </c>
      <c r="E23" t="inlineStr" s="6">
        <is>
          <t xml:space="preserve">Beispielprodukt – Ausstattung und Preis folgen</t>
        </is>
      </c>
      <c r="F23" s="7">
        <v>799</v>
      </c>
      <c r="G23" s="7">
        <v>49</v>
      </c>
      <c r="H23" t="inlineStr" s="6">
        <is>
          <t xml:space="preserve">A</t>
        </is>
      </c>
      <c r="I23" t="inlineStr" s="6">
        <is>
          <t xml:space="preserve">A–G (nuova)</t>
        </is>
      </c>
      <c r="J23" t="inlineStr" s="6">
        <is>
          <t xml:space="preserve"/>
        </is>
      </c>
      <c r="K23" t="inlineStr" s="6">
        <is>
          <t xml:space="preserve"/>
        </is>
      </c>
    </row>
    <row r="24">
      <c r="A24" t="inlineStr" s="6">
        <is>
          <t xml:space="preserve">Ja</t>
        </is>
      </c>
      <c r="B24" t="inlineStr" s="6">
        <is>
          <t xml:space="preserve">Siemens Hausgeräte</t>
        </is>
      </c>
      <c r="C24" t="inlineStr" s="6">
        <is>
          <t xml:space="preserve">Wäschetrockner</t>
        </is>
      </c>
      <c r="D24" t="inlineStr" s="6">
        <is>
          <t xml:space="preserve">iQ500 Wärmepumpentrockner 8 kg</t>
        </is>
      </c>
      <c r="E24" t="inlineStr" s="6">
        <is>
          <t xml:space="preserve">Beispielprodukt – Ausstattung und Preis folgen</t>
        </is>
      </c>
      <c r="F24" s="7">
        <v>849</v>
      </c>
      <c r="G24" s="7">
        <v>39</v>
      </c>
      <c r="H24" t="inlineStr" s="6">
        <is>
          <t xml:space="preserve">A+++</t>
        </is>
      </c>
      <c r="I24" t="inlineStr" s="6">
        <is>
          <t xml:space="preserve">A+++–D</t>
        </is>
      </c>
      <c r="J24" t="inlineStr" s="6">
        <is>
          <t xml:space="preserve"/>
        </is>
      </c>
      <c r="K24" t="inlineStr" s="6">
        <is>
          <t xml:space="preserve"/>
        </is>
      </c>
    </row>
    <row r="25">
      <c r="A25" t="inlineStr" s="6">
        <is>
          <t xml:space="preserve">Ja</t>
        </is>
      </c>
      <c r="B25" t="inlineStr" s="6">
        <is>
          <t xml:space="preserve">Siemens Hausgeräte</t>
        </is>
      </c>
      <c r="C25" t="inlineStr" s="6">
        <is>
          <t xml:space="preserve">Geschirrspüler</t>
        </is>
      </c>
      <c r="D25" t="inlineStr" s="6">
        <is>
          <t xml:space="preserve">iQ300 Einbau-Geschirrspüler 60 cm</t>
        </is>
      </c>
      <c r="E25" t="inlineStr" s="6">
        <is>
          <t xml:space="preserve">Beispielprodukt – Ausstattung und Preis folgen</t>
        </is>
      </c>
      <c r="F25" s="7">
        <v>649</v>
      </c>
      <c r="G25" s="7">
        <v>149</v>
      </c>
      <c r="H25" t="inlineStr" s="6">
        <is>
          <t xml:space="preserve">C</t>
        </is>
      </c>
      <c r="I25" t="inlineStr" s="6">
        <is>
          <t xml:space="preserve">A–G (nuova)</t>
        </is>
      </c>
      <c r="J25" t="inlineStr" s="6">
        <is>
          <t xml:space="preserve"/>
        </is>
      </c>
      <c r="K25" t="inlineStr" s="6">
        <is>
          <t xml:space="preserve"/>
        </is>
      </c>
    </row>
    <row r="26">
      <c r="A26" t="inlineStr" s="6">
        <is>
          <t xml:space="preserve">Ja</t>
        </is>
      </c>
      <c r="B26" t="inlineStr" s="6">
        <is>
          <t xml:space="preserve">Siemens Hausgeräte</t>
        </is>
      </c>
      <c r="C26" t="inlineStr" s="6">
        <is>
          <t xml:space="preserve">Backofen &amp; Herd</t>
        </is>
      </c>
      <c r="D26" t="inlineStr" s="6">
        <is>
          <t xml:space="preserve">iQ500 Einbau-Backofen</t>
        </is>
      </c>
      <c r="E26" t="inlineStr" s="6">
        <is>
          <t xml:space="preserve">Beispielprodukt – Ausstattung und Preis folgen</t>
        </is>
      </c>
      <c r="F26" s="7">
        <v>699</v>
      </c>
      <c r="G26" s="7">
        <v>129</v>
      </c>
      <c r="H26" t="inlineStr" s="6">
        <is>
          <t xml:space="preserve">A+</t>
        </is>
      </c>
      <c r="I26" t="inlineStr" s="6">
        <is>
          <t xml:space="preserve">A+++–D</t>
        </is>
      </c>
      <c r="J26" t="inlineStr" s="6">
        <is>
          <t xml:space="preserve"/>
        </is>
      </c>
      <c r="K26" t="inlineStr" s="6">
        <is>
          <t xml:space="preserve"/>
        </is>
      </c>
    </row>
    <row r="27">
      <c r="A27" t="inlineStr" s="6">
        <is>
          <t xml:space="preserve">Ja</t>
        </is>
      </c>
      <c r="B27" t="inlineStr" s="6">
        <is>
          <t xml:space="preserve">Siemens Hausgeräte</t>
        </is>
      </c>
      <c r="C27" t="inlineStr" s="6">
        <is>
          <t xml:space="preserve">Kühlen &amp; Gefrieren</t>
        </is>
      </c>
      <c r="D27" t="inlineStr" s="6">
        <is>
          <t xml:space="preserve">iQ300 Kühl-Gefrier-Kombination</t>
        </is>
      </c>
      <c r="E27" t="inlineStr" s="6">
        <is>
          <t xml:space="preserve">Beispielprodukt – Ausstattung und Preis folgen</t>
        </is>
      </c>
      <c r="F27" s="7">
        <v>749</v>
      </c>
      <c r="G27" s="7">
        <v>39</v>
      </c>
      <c r="H27" t="inlineStr" s="6">
        <is>
          <t xml:space="preserve">C</t>
        </is>
      </c>
      <c r="I27" t="inlineStr" s="6">
        <is>
          <t xml:space="preserve">A–G (nuova)</t>
        </is>
      </c>
      <c r="J27" t="inlineStr" s="6">
        <is>
          <t xml:space="preserve"/>
        </is>
      </c>
      <c r="K27" t="inlineStr" s="6">
        <is>
          <t xml:space="preserve"/>
        </is>
      </c>
    </row>
    <row r="28">
      <c r="A28" t="inlineStr" s="6">
        <is>
          <t xml:space="preserve">Ja</t>
        </is>
      </c>
      <c r="B28" t="inlineStr" s="6">
        <is>
          <t xml:space="preserve">Miele</t>
        </is>
      </c>
      <c r="C28" t="inlineStr" s="6">
        <is>
          <t xml:space="preserve">Waschmaschine</t>
        </is>
      </c>
      <c r="D28" t="inlineStr" s="6">
        <is>
          <t xml:space="preserve">Waschmaschine W1 (Beispiel)</t>
        </is>
      </c>
      <c r="E28" t="inlineStr" s="6">
        <is>
          <t xml:space="preserve">Beispielprodukt – Ausstattung und Preis folgen</t>
        </is>
      </c>
      <c r="F28" s="7">
        <v>1199</v>
      </c>
      <c r="G28" s="7">
        <v>49</v>
      </c>
      <c r="H28" t="inlineStr" s="6">
        <is>
          <t xml:space="preserve">A</t>
        </is>
      </c>
      <c r="I28" t="inlineStr" s="6">
        <is>
          <t xml:space="preserve">A–G (nuova)</t>
        </is>
      </c>
      <c r="J28" t="inlineStr" s="6">
        <is>
          <t xml:space="preserve"/>
        </is>
      </c>
      <c r="K28" t="inlineStr" s="6">
        <is>
          <t xml:space="preserve"/>
        </is>
      </c>
    </row>
    <row r="29">
      <c r="A29" t="inlineStr" s="6">
        <is>
          <t xml:space="preserve">Ja</t>
        </is>
      </c>
      <c r="B29" t="inlineStr" s="6">
        <is>
          <t xml:space="preserve">Liebherr</t>
        </is>
      </c>
      <c r="C29" t="inlineStr" s="6">
        <is>
          <t xml:space="preserve">Kühlen &amp; Gefrieren</t>
        </is>
      </c>
      <c r="D29" t="inlineStr" s="6">
        <is>
          <t xml:space="preserve">Kühl-Gefrier-Kombination (Beispiel)</t>
        </is>
      </c>
      <c r="E29" t="inlineStr" s="6">
        <is>
          <t xml:space="preserve">Beispielprodukt – Ausstattung und Preis folgen</t>
        </is>
      </c>
      <c r="F29" s="7">
        <v>999</v>
      </c>
      <c r="G29" s="7">
        <v>39</v>
      </c>
      <c r="H29" t="inlineStr" s="6">
        <is>
          <t xml:space="preserve">C</t>
        </is>
      </c>
      <c r="I29" t="inlineStr" s="6">
        <is>
          <t xml:space="preserve">A–G (nuova)</t>
        </is>
      </c>
      <c r="J29" t="inlineStr" s="6">
        <is>
          <t xml:space="preserve"/>
        </is>
      </c>
      <c r="K29" t="inlineStr" s="6">
        <is>
          <t xml:space="preserve"/>
        </is>
      </c>
    </row>
    <row r="30">
      <c r="A30" t="inlineStr" s="6">
        <is>
          <t xml:space="preserve"/>
        </is>
      </c>
      <c r="B30" t="inlineStr" s="6">
        <is>
          <t xml:space="preserve"/>
        </is>
      </c>
      <c r="C30" t="inlineStr" s="6">
        <is>
          <t xml:space="preserve"/>
        </is>
      </c>
      <c r="D30" t="inlineStr" s="6">
        <is>
          <t xml:space="preserve"/>
        </is>
      </c>
      <c r="E30" t="inlineStr" s="6">
        <is>
          <t xml:space="preserve"/>
        </is>
      </c>
      <c r="F30" s="7"/>
      <c r="G30" s="7"/>
      <c r="H30" t="inlineStr" s="6">
        <is>
          <t xml:space="preserve"/>
        </is>
      </c>
      <c r="I30" t="inlineStr" s="6">
        <is>
          <t xml:space="preserve"/>
        </is>
      </c>
      <c r="J30" t="inlineStr" s="6">
        <is>
          <t xml:space="preserve"/>
        </is>
      </c>
      <c r="K30" t="inlineStr" s="6">
        <is>
          <t xml:space="preserve"/>
        </is>
      </c>
    </row>
    <row r="31">
      <c r="A31" t="inlineStr" s="6">
        <is>
          <t xml:space="preserve"/>
        </is>
      </c>
      <c r="B31" t="inlineStr" s="6">
        <is>
          <t xml:space="preserve"/>
        </is>
      </c>
      <c r="C31" t="inlineStr" s="6">
        <is>
          <t xml:space="preserve"/>
        </is>
      </c>
      <c r="D31" t="inlineStr" s="6">
        <is>
          <t xml:space="preserve"/>
        </is>
      </c>
      <c r="E31" t="inlineStr" s="6">
        <is>
          <t xml:space="preserve"/>
        </is>
      </c>
      <c r="F31" s="7"/>
      <c r="G31" s="7"/>
      <c r="H31" t="inlineStr" s="6">
        <is>
          <t xml:space="preserve"/>
        </is>
      </c>
      <c r="I31" t="inlineStr" s="6">
        <is>
          <t xml:space="preserve"/>
        </is>
      </c>
      <c r="J31" t="inlineStr" s="6">
        <is>
          <t xml:space="preserve"/>
        </is>
      </c>
      <c r="K31" t="inlineStr" s="6">
        <is>
          <t xml:space="preserve"/>
        </is>
      </c>
    </row>
    <row r="32">
      <c r="A32" t="inlineStr" s="6">
        <is>
          <t xml:space="preserve"/>
        </is>
      </c>
      <c r="B32" t="inlineStr" s="6">
        <is>
          <t xml:space="preserve"/>
        </is>
      </c>
      <c r="C32" t="inlineStr" s="6">
        <is>
          <t xml:space="preserve"/>
        </is>
      </c>
      <c r="D32" t="inlineStr" s="6">
        <is>
          <t xml:space="preserve"/>
        </is>
      </c>
      <c r="E32" t="inlineStr" s="6">
        <is>
          <t xml:space="preserve"/>
        </is>
      </c>
      <c r="F32" s="7"/>
      <c r="G32" s="7"/>
      <c r="H32" t="inlineStr" s="6">
        <is>
          <t xml:space="preserve"/>
        </is>
      </c>
      <c r="I32" t="inlineStr" s="6">
        <is>
          <t xml:space="preserve"/>
        </is>
      </c>
      <c r="J32" t="inlineStr" s="6">
        <is>
          <t xml:space="preserve"/>
        </is>
      </c>
      <c r="K32" t="inlineStr" s="6">
        <is>
          <t xml:space="preserve"/>
        </is>
      </c>
    </row>
    <row r="33">
      <c r="A33" t="inlineStr" s="6">
        <is>
          <t xml:space="preserve"/>
        </is>
      </c>
      <c r="B33" t="inlineStr" s="6">
        <is>
          <t xml:space="preserve"/>
        </is>
      </c>
      <c r="C33" t="inlineStr" s="6">
        <is>
          <t xml:space="preserve"/>
        </is>
      </c>
      <c r="D33" t="inlineStr" s="6">
        <is>
          <t xml:space="preserve"/>
        </is>
      </c>
      <c r="E33" t="inlineStr" s="6">
        <is>
          <t xml:space="preserve"/>
        </is>
      </c>
      <c r="F33" s="7"/>
      <c r="G33" s="7"/>
      <c r="H33" t="inlineStr" s="6">
        <is>
          <t xml:space="preserve"/>
        </is>
      </c>
      <c r="I33" t="inlineStr" s="6">
        <is>
          <t xml:space="preserve"/>
        </is>
      </c>
      <c r="J33" t="inlineStr" s="6">
        <is>
          <t xml:space="preserve"/>
        </is>
      </c>
      <c r="K33" t="inlineStr" s="6">
        <is>
          <t xml:space="preserve"/>
        </is>
      </c>
    </row>
    <row r="34">
      <c r="A34" t="inlineStr" s="6">
        <is>
          <t xml:space="preserve"/>
        </is>
      </c>
      <c r="B34" t="inlineStr" s="6">
        <is>
          <t xml:space="preserve"/>
        </is>
      </c>
      <c r="C34" t="inlineStr" s="6">
        <is>
          <t xml:space="preserve"/>
        </is>
      </c>
      <c r="D34" t="inlineStr" s="6">
        <is>
          <t xml:space="preserve"/>
        </is>
      </c>
      <c r="E34" t="inlineStr" s="6">
        <is>
          <t xml:space="preserve"/>
        </is>
      </c>
      <c r="F34" s="7"/>
      <c r="G34" s="7"/>
      <c r="H34" t="inlineStr" s="6">
        <is>
          <t xml:space="preserve"/>
        </is>
      </c>
      <c r="I34" t="inlineStr" s="6">
        <is>
          <t xml:space="preserve"/>
        </is>
      </c>
      <c r="J34" t="inlineStr" s="6">
        <is>
          <t xml:space="preserve"/>
        </is>
      </c>
      <c r="K34" t="inlineStr" s="6">
        <is>
          <t xml:space="preserve"/>
        </is>
      </c>
    </row>
    <row r="35">
      <c r="A35" t="inlineStr" s="3">
        <is>
          <t xml:space="preserve">Freie gelbe Zeilen: hier neue Einträge eintragen.</t>
        </is>
      </c>
    </row>
    <row r="37">
      <c r="A37" t="inlineStr" s="2">
        <is>
          <t xml:space="preserve">Leistungen</t>
        </is>
      </c>
    </row>
    <row r="38">
      <c r="A38" t="inlineStr" s="4">
        <is>
          <t xml:space="preserve">Position</t>
        </is>
      </c>
      <c r="B38" t="inlineStr" s="4">
        <is>
          <t xml:space="preserve">Wert</t>
        </is>
      </c>
      <c r="C38" t="inlineStr" s="4">
        <is>
          <t xml:space="preserve">Einheit</t>
        </is>
      </c>
      <c r="D38" t="inlineStr" s="4">
        <is>
          <t xml:space="preserve">Arbeitslohn netto</t>
        </is>
      </c>
      <c r="E38" t="inlineStr" s="4">
        <is>
          <t xml:space="preserve">Brutto inkl. MwSt.</t>
        </is>
      </c>
    </row>
    <row r="39">
      <c r="A39" t="inlineStr" s="5">
        <is>
          <t xml:space="preserve">Lieferung pro Gerät (brutto)</t>
        </is>
      </c>
      <c r="B39" s="7">
        <v>39</v>
      </c>
      <c r="C39" t="inlineStr" s="5">
        <is>
          <t xml:space="preserve">€</t>
        </is>
      </c>
    </row>
    <row r="40">
      <c r="A40" t="inlineStr" s="5">
        <is>
          <t xml:space="preserve">Altgerät-Mitnahme pro Gerät (brutto)</t>
        </is>
      </c>
      <c r="B40" s="7">
        <v>25</v>
      </c>
      <c r="C40" t="inlineStr" s="5">
        <is>
          <t xml:space="preserve">€</t>
        </is>
      </c>
    </row>
    <row r="41">
      <c r="A41" t="inlineStr" s="5">
        <is>
          <t xml:space="preserve">Lieferzeit (Text für den Kunden)</t>
        </is>
      </c>
      <c r="B41" t="inlineStr" s="6">
        <is>
          <t xml:space="preserve">In der Regel 3–10 Werktage, Liefertermin nach Absprache.</t>
        </is>
      </c>
      <c r="C41" t="inlineStr" s="5">
        <is>
          <t xml:space="preserve"/>
        </is>
      </c>
    </row>
    <row r="42">
      <c r="A42" t="inlineStr" s="5">
        <is>
          <t xml:space="preserve">Liefergebiet (Text für den Kunden)</t>
        </is>
      </c>
      <c r="B42" t="inlineStr" s="6">
        <is>
          <t xml:space="preserve">Lauda-Königshofen und Umgebung – andere Orte auf Anfrage.</t>
        </is>
      </c>
      <c r="C42" t="inlineStr" s="5">
        <is>
          <t xml:space="preserve"/>
        </is>
      </c>
    </row>
    <row r="43">
      <c r="A43" t="inlineStr" s="5">
        <is>
          <t xml:space="preserve">Zahlungsarten (Text für den Kunden)</t>
        </is>
      </c>
      <c r="B43" t="inlineStr" s="6">
        <is>
          <t xml:space="preserve">Überweisung nach Erhalt der Rechnung oder Barzahlung bzw. EC-Karte bei Abholung im Fachgeschäft.</t>
        </is>
      </c>
      <c r="C43" t="inlineStr" s="5">
        <is>
          <t xml:space="preserve"/>
        </is>
      </c>
    </row>
  </sheetData>
  <dataValidations count="6">
    <dataValidation type="list" allowBlank="1" showErrorMessage="1" sqref="B4">
      <formula1>"Ja,Nein"</formula1>
    </dataValidation>
    <dataValidation type="list" allowBlank="1" showErrorMessage="1" sqref="A9:A16">
      <formula1>"Ja,Nein"</formula1>
    </dataValidation>
    <dataValidation type="list" allowBlank="1" showErrorMessage="1" sqref="A22:A34">
      <formula1>"Ja,Nein"</formula1>
    </dataValidation>
    <dataValidation type="list" allowBlank="1" showErrorMessage="1" sqref="B22:B34">
      <formula1>"Siemens Hausgeräte,Miele,Liebherr"</formula1>
    </dataValidation>
    <dataValidation type="list" allowBlank="1" showErrorMessage="1" sqref="H22:H34">
      <formula1>"–,A+++,A++,A+,A,B,C,D,E,F,G"</formula1>
    </dataValidation>
    <dataValidation type="list" allowBlank="1" showErrorMessage="1" sqref="I22:I34">
      <formula1>"A–G (nuova),A+++–D"</formula1>
    </dataValidation>
  </dataValidations>
  <pageMargins left="0.5" right="0.5" top="0.6" bottom="0.6" header="0.3" footer="0.3"/>
</worksheet>
</file>

<file path=xl/worksheets/sheet8.xml><?xml version="1.0" encoding="utf-8"?>
<worksheet xmlns="http://schemas.openxmlformats.org/spreadsheetml/2006/main" xmlns:r="http://schemas.openxmlformats.org/officeDocument/2006/relationships">
  <sheetViews>
    <sheetView workbookViewId="0" showGridLines="0"/>
  </sheetViews>
  <sheetFormatPr defaultRowHeight="15"/>
  <cols>
    <col min="1" max="1" width="46" customWidth="1"/>
    <col min="2" max="2" width="40" customWidth="1"/>
    <col min="3" max="3" width="16" customWidth="1"/>
    <col min="4" max="4" width="18" customWidth="1"/>
    <col min="5" max="5" width="18" customWidth="1"/>
    <col min="6" max="6" width="18" customWidth="1"/>
    <col min="7" max="7" width="18" customWidth="1"/>
    <col min="8" max="8" width="16" customWidth="1"/>
    <col min="9" max="9" width="16" customWidth="1"/>
    <col min="10" max="10" width="16" customWidth="1"/>
  </cols>
  <sheetData>
    <row r="1">
      <c r="A1" t="inlineStr" s="1">
        <is>
          <t xml:space="preserve">Elektroinstallation</t>
        </is>
      </c>
    </row>
    <row r="2">
      <c r="A2" t="inlineStr" s="3">
        <is>
          <t xml:space="preserve">Gelbe Zellen ändern. Bruttopreise und Arbeitslohn werden mit Stundensatz und MwSt. aus „Allgemein“ berechnet.</t>
        </is>
      </c>
    </row>
    <row r="4">
      <c r="A4" t="inlineStr" s="5">
        <is>
          <t xml:space="preserve">Auf der Website sichtbar</t>
        </is>
      </c>
      <c r="B4" t="inlineStr" s="6">
        <is>
          <t xml:space="preserve">Ja</t>
        </is>
      </c>
    </row>
    <row r="6">
      <c r="A6" t="inlineStr" s="2">
        <is>
          <t xml:space="preserve">Installation pro m²</t>
        </is>
      </c>
    </row>
    <row r="7">
      <c r="A7" t="inlineStr" s="4">
        <is>
          <t xml:space="preserve">Position</t>
        </is>
      </c>
      <c r="B7" t="inlineStr" s="4">
        <is>
          <t xml:space="preserve">Wert</t>
        </is>
      </c>
      <c r="C7" t="inlineStr" s="4">
        <is>
          <t xml:space="preserve">Einheit</t>
        </is>
      </c>
      <c r="D7" t="inlineStr" s="4">
        <is>
          <t xml:space="preserve">Arbeitslohn netto</t>
        </is>
      </c>
      <c r="E7" t="inlineStr" s="4">
        <is>
          <t xml:space="preserve">Brutto inkl. MwSt.</t>
        </is>
      </c>
    </row>
    <row r="8">
      <c r="A8" t="inlineStr" s="5">
        <is>
          <t xml:space="preserve">Neubau – Material pro m²</t>
        </is>
      </c>
      <c r="B8" s="7">
        <v>42</v>
      </c>
      <c r="C8" t="inlineStr" s="5">
        <is>
          <t xml:space="preserve">€</t>
        </is>
      </c>
      <c r="E8" s="10">
        <f>B8*(1+'Allgemein'!$B$19)</f>
      </c>
    </row>
    <row r="9">
      <c r="A9" t="inlineStr" s="5">
        <is>
          <t xml:space="preserve">Neubau – Stunden pro m²</t>
        </is>
      </c>
      <c r="B9" s="9">
        <v>0.75</v>
      </c>
      <c r="C9" t="inlineStr" s="5">
        <is>
          <t xml:space="preserve">Std.</t>
        </is>
      </c>
      <c r="D9" s="10">
        <f>B9*'Allgemein'!$B$17</f>
      </c>
      <c r="E9" s="10">
        <f>D9*(1+'Allgemein'!$B$19)</f>
      </c>
    </row>
    <row r="10">
      <c r="A10" t="inlineStr" s="5">
        <is>
          <t xml:space="preserve">Komplettsanierung – Material pro m²</t>
        </is>
      </c>
      <c r="B10" s="7">
        <v>52</v>
      </c>
      <c r="C10" t="inlineStr" s="5">
        <is>
          <t xml:space="preserve">€</t>
        </is>
      </c>
      <c r="E10" s="10">
        <f>B10*(1+'Allgemein'!$B$19)</f>
      </c>
    </row>
    <row r="11">
      <c r="A11" t="inlineStr" s="5">
        <is>
          <t xml:space="preserve">Komplettsanierung – Stunden pro m²</t>
        </is>
      </c>
      <c r="B11" s="9">
        <v>1.2</v>
      </c>
      <c r="C11" t="inlineStr" s="5">
        <is>
          <t xml:space="preserve">Std.</t>
        </is>
      </c>
      <c r="D11" s="10">
        <f>B11*'Allgemein'!$B$17</f>
      </c>
      <c r="E11" s="10">
        <f>D11*(1+'Allgemein'!$B$19)</f>
      </c>
    </row>
    <row r="12">
      <c r="A12" t="inlineStr" s="5">
        <is>
          <t xml:space="preserve">Teilsanierung – Material pro m²</t>
        </is>
      </c>
      <c r="B12" s="7">
        <v>30</v>
      </c>
      <c r="C12" t="inlineStr" s="5">
        <is>
          <t xml:space="preserve">€</t>
        </is>
      </c>
      <c r="E12" s="10">
        <f>B12*(1+'Allgemein'!$B$19)</f>
      </c>
    </row>
    <row r="13">
      <c r="A13" t="inlineStr" s="5">
        <is>
          <t xml:space="preserve">Teilsanierung – Stunden pro m²</t>
        </is>
      </c>
      <c r="B13" s="9">
        <v>0.6</v>
      </c>
      <c r="C13" t="inlineStr" s="5">
        <is>
          <t xml:space="preserve">Std.</t>
        </is>
      </c>
      <c r="D13" s="10">
        <f>B13*'Allgemein'!$B$17</f>
      </c>
      <c r="E13" s="10">
        <f>D13*(1+'Allgemein'!$B$19)</f>
      </c>
    </row>
    <row r="15">
      <c r="A15" t="inlineStr" s="2">
        <is>
          <t xml:space="preserve">Einzelpositionen</t>
        </is>
      </c>
    </row>
    <row r="16">
      <c r="A16" t="inlineStr" s="4">
        <is>
          <t xml:space="preserve">Position</t>
        </is>
      </c>
      <c r="B16" t="inlineStr" s="4">
        <is>
          <t xml:space="preserve">Wert</t>
        </is>
      </c>
      <c r="C16" t="inlineStr" s="4">
        <is>
          <t xml:space="preserve">Einheit</t>
        </is>
      </c>
      <c r="D16" t="inlineStr" s="4">
        <is>
          <t xml:space="preserve">Arbeitslohn netto</t>
        </is>
      </c>
      <c r="E16" t="inlineStr" s="4">
        <is>
          <t xml:space="preserve">Brutto inkl. MwSt.</t>
        </is>
      </c>
    </row>
    <row r="17">
      <c r="A17" t="inlineStr" s="5">
        <is>
          <t xml:space="preserve">Neuer Zählerschrank – Material</t>
        </is>
      </c>
      <c r="B17" s="7">
        <v>1650</v>
      </c>
      <c r="C17" t="inlineStr" s="5">
        <is>
          <t xml:space="preserve">€</t>
        </is>
      </c>
      <c r="E17" s="10">
        <f>B17*(1+'Allgemein'!$B$19)</f>
      </c>
    </row>
    <row r="18">
      <c r="A18" t="inlineStr" s="5">
        <is>
          <t xml:space="preserve">Neuer Zählerschrank – Stunden</t>
        </is>
      </c>
      <c r="B18" s="9">
        <v>18</v>
      </c>
      <c r="C18" t="inlineStr" s="5">
        <is>
          <t xml:space="preserve">Std.</t>
        </is>
      </c>
      <c r="D18" s="10">
        <f>B18*'Allgemein'!$B$17</f>
      </c>
      <c r="E18" s="10">
        <f>D18*(1+'Allgemein'!$B$19)</f>
      </c>
    </row>
    <row r="19">
      <c r="A19" t="inlineStr" s="5">
        <is>
          <t xml:space="preserve">Netzwerkdose – Material</t>
        </is>
      </c>
      <c r="B19" s="7">
        <v>55</v>
      </c>
      <c r="C19" t="inlineStr" s="5">
        <is>
          <t xml:space="preserve">€</t>
        </is>
      </c>
      <c r="E19" s="10">
        <f>B19*(1+'Allgemein'!$B$19)</f>
      </c>
    </row>
    <row r="20">
      <c r="A20" t="inlineStr" s="5">
        <is>
          <t xml:space="preserve">Netzwerkdose – Stunden</t>
        </is>
      </c>
      <c r="B20" s="9">
        <v>1.4</v>
      </c>
      <c r="C20" t="inlineStr" s="5">
        <is>
          <t xml:space="preserve">Std.</t>
        </is>
      </c>
      <c r="D20" s="10">
        <f>B20*'Allgemein'!$B$17</f>
      </c>
      <c r="E20" s="10">
        <f>D20*(1+'Allgemein'!$B$19)</f>
      </c>
    </row>
    <row r="21">
      <c r="A21" t="inlineStr" s="5">
        <is>
          <t xml:space="preserve">Überspannungsschutz – Material</t>
        </is>
      </c>
      <c r="B21" s="7">
        <v>330</v>
      </c>
      <c r="C21" t="inlineStr" s="5">
        <is>
          <t xml:space="preserve">€</t>
        </is>
      </c>
      <c r="E21" s="10">
        <f>B21*(1+'Allgemein'!$B$19)</f>
      </c>
    </row>
    <row r="22">
      <c r="A22" t="inlineStr" s="5">
        <is>
          <t xml:space="preserve">Überspannungsschutz – Stunden</t>
        </is>
      </c>
      <c r="B22" s="9">
        <v>2.5</v>
      </c>
      <c r="C22" t="inlineStr" s="5">
        <is>
          <t xml:space="preserve">Std.</t>
        </is>
      </c>
      <c r="D22" s="10">
        <f>B22*'Allgemein'!$B$17</f>
      </c>
      <c r="E22" s="10">
        <f>D22*(1+'Allgemein'!$B$19)</f>
      </c>
    </row>
    <row r="23">
      <c r="A23" t="inlineStr" s="5">
        <is>
          <t xml:space="preserve">E-CHECK – Material</t>
        </is>
      </c>
      <c r="B23" s="7">
        <v>0</v>
      </c>
      <c r="C23" t="inlineStr" s="5">
        <is>
          <t xml:space="preserve">€</t>
        </is>
      </c>
      <c r="E23" s="10">
        <f>B23*(1+'Allgemein'!$B$19)</f>
      </c>
    </row>
    <row r="24">
      <c r="A24" t="inlineStr" s="5">
        <is>
          <t xml:space="preserve">E-CHECK – Stunden</t>
        </is>
      </c>
      <c r="B24" s="9">
        <v>2.75</v>
      </c>
      <c r="C24" t="inlineStr" s="5">
        <is>
          <t xml:space="preserve">Std.</t>
        </is>
      </c>
      <c r="D24" s="10">
        <f>B24*'Allgemein'!$B$17</f>
      </c>
      <c r="E24" s="10">
        <f>D24*(1+'Allgemein'!$B$19)</f>
      </c>
    </row>
    <row r="26">
      <c r="A26" t="inlineStr" s="2">
        <is>
          <t xml:space="preserve">Wallboxen (für Elektroinstallation und Photovoltaik)</t>
        </is>
      </c>
    </row>
    <row r="27">
      <c r="A27" t="inlineStr" s="3">
        <is>
          <t xml:space="preserve">Der Kunde wählt die Wallbox im Rechner. Angeboten werden nur aktive Modelle.</t>
        </is>
      </c>
    </row>
    <row r="28">
      <c r="A28" t="inlineStr" s="4">
        <is>
          <t xml:space="preserve">Aktiv</t>
        </is>
      </c>
      <c r="B28" t="inlineStr" s="4">
        <is>
          <t xml:space="preserve">Hersteller</t>
        </is>
      </c>
      <c r="C28" t="inlineStr" s="4">
        <is>
          <t xml:space="preserve">Modell</t>
        </is>
      </c>
      <c r="D28" t="inlineStr" s="4">
        <is>
          <t xml:space="preserve">Leistung (kW)</t>
        </is>
      </c>
      <c r="E28" t="inlineStr" s="4">
        <is>
          <t xml:space="preserve">Nettopreis (€)</t>
        </is>
      </c>
      <c r="F28" t="inlineStr" s="4">
        <is>
          <t xml:space="preserve">Bruttopreis (€)</t>
        </is>
      </c>
    </row>
    <row r="29">
      <c r="A29" t="inlineStr" s="6">
        <is>
          <t xml:space="preserve">Ja</t>
        </is>
      </c>
      <c r="B29" t="inlineStr" s="6">
        <is>
          <t xml:space="preserve">Fronius</t>
        </is>
      </c>
      <c r="C29" t="inlineStr" s="6">
        <is>
          <t xml:space="preserve">Wattpilot Home 11 J</t>
        </is>
      </c>
      <c r="D29" s="9">
        <v>11</v>
      </c>
      <c r="E29" s="7">
        <v>890</v>
      </c>
      <c r="F29" s="10">
        <f>IF(E29="","",E29*(1+'Allgemein'!$B$19))</f>
      </c>
    </row>
    <row r="30">
      <c r="A30" t="inlineStr" s="6">
        <is>
          <t xml:space="preserve">Ja</t>
        </is>
      </c>
      <c r="B30" t="inlineStr" s="6">
        <is>
          <t xml:space="preserve">ABL</t>
        </is>
      </c>
      <c r="C30" t="inlineStr" s="6">
        <is>
          <t xml:space="preserve">eMH1 11 kW</t>
        </is>
      </c>
      <c r="D30" s="9">
        <v>11</v>
      </c>
      <c r="E30" s="7">
        <v>720</v>
      </c>
      <c r="F30" s="10">
        <f>IF(E30="","",E30*(1+'Allgemein'!$B$19))</f>
      </c>
    </row>
    <row r="31">
      <c r="A31" t="inlineStr" s="6">
        <is>
          <t xml:space="preserve">Ja</t>
        </is>
      </c>
      <c r="B31" t="inlineStr" s="6">
        <is>
          <t xml:space="preserve">Mennekes</t>
        </is>
      </c>
      <c r="C31" t="inlineStr" s="6">
        <is>
          <t xml:space="preserve">AMTRON Compact 2.0s 11</t>
        </is>
      </c>
      <c r="D31" s="9">
        <v>11</v>
      </c>
      <c r="E31" s="7">
        <v>990</v>
      </c>
      <c r="F31" s="10">
        <f>IF(E31="","",E31*(1+'Allgemein'!$B$19))</f>
      </c>
    </row>
    <row r="32">
      <c r="A32" t="inlineStr" s="6">
        <is>
          <t xml:space="preserve">Ja</t>
        </is>
      </c>
      <c r="B32" t="inlineStr" s="6">
        <is>
          <t xml:space="preserve">Heidelberg</t>
        </is>
      </c>
      <c r="C32" t="inlineStr" s="6">
        <is>
          <t xml:space="preserve">Energy Control</t>
        </is>
      </c>
      <c r="D32" s="9">
        <v>11</v>
      </c>
      <c r="E32" s="7">
        <v>650</v>
      </c>
      <c r="F32" s="10">
        <f>IF(E32="","",E32*(1+'Allgemein'!$B$19))</f>
      </c>
    </row>
    <row r="33">
      <c r="A33" t="inlineStr" s="6">
        <is>
          <t xml:space="preserve"/>
        </is>
      </c>
      <c r="B33" t="inlineStr" s="6">
        <is>
          <t xml:space="preserve"/>
        </is>
      </c>
      <c r="C33" t="inlineStr" s="6">
        <is>
          <t xml:space="preserve"/>
        </is>
      </c>
      <c r="D33" s="9"/>
      <c r="E33" s="7"/>
      <c r="F33" s="10">
        <f>IF(E33="","",E33*(1+'Allgemein'!$B$19))</f>
      </c>
    </row>
    <row r="34">
      <c r="A34" t="inlineStr" s="6">
        <is>
          <t xml:space="preserve"/>
        </is>
      </c>
      <c r="B34" t="inlineStr" s="6">
        <is>
          <t xml:space="preserve"/>
        </is>
      </c>
      <c r="C34" t="inlineStr" s="6">
        <is>
          <t xml:space="preserve"/>
        </is>
      </c>
      <c r="D34" s="9"/>
      <c r="E34" s="7"/>
      <c r="F34" s="10">
        <f>IF(E34="","",E34*(1+'Allgemein'!$B$19))</f>
      </c>
    </row>
    <row r="35">
      <c r="A35" t="inlineStr" s="6">
        <is>
          <t xml:space="preserve"/>
        </is>
      </c>
      <c r="B35" t="inlineStr" s="6">
        <is>
          <t xml:space="preserve"/>
        </is>
      </c>
      <c r="C35" t="inlineStr" s="6">
        <is>
          <t xml:space="preserve"/>
        </is>
      </c>
      <c r="D35" s="9"/>
      <c r="E35" s="7"/>
      <c r="F35" s="10">
        <f>IF(E35="","",E35*(1+'Allgemein'!$B$19))</f>
      </c>
    </row>
    <row r="36">
      <c r="A36" t="inlineStr" s="6">
        <is>
          <t xml:space="preserve"/>
        </is>
      </c>
      <c r="B36" t="inlineStr" s="6">
        <is>
          <t xml:space="preserve"/>
        </is>
      </c>
      <c r="C36" t="inlineStr" s="6">
        <is>
          <t xml:space="preserve"/>
        </is>
      </c>
      <c r="D36" s="9"/>
      <c r="E36" s="7"/>
      <c r="F36" s="10">
        <f>IF(E36="","",E36*(1+'Allgemein'!$B$19))</f>
      </c>
    </row>
    <row r="37">
      <c r="A37" t="inlineStr" s="6">
        <is>
          <t xml:space="preserve"/>
        </is>
      </c>
      <c r="B37" t="inlineStr" s="6">
        <is>
          <t xml:space="preserve"/>
        </is>
      </c>
      <c r="C37" t="inlineStr" s="6">
        <is>
          <t xml:space="preserve"/>
        </is>
      </c>
      <c r="D37" s="9"/>
      <c r="E37" s="7"/>
      <c r="F37" s="10">
        <f>IF(E37="","",E37*(1+'Allgemein'!$B$19))</f>
      </c>
    </row>
    <row r="38">
      <c r="A38" t="inlineStr" s="3">
        <is>
          <t xml:space="preserve">Freie gelbe Zeilen: hier neue Einträge eintragen.</t>
        </is>
      </c>
    </row>
    <row r="40">
      <c r="A40" t="inlineStr" s="2">
        <is>
          <t xml:space="preserve">Montage Wallbox</t>
        </is>
      </c>
    </row>
    <row r="41">
      <c r="A41" t="inlineStr" s="4">
        <is>
          <t xml:space="preserve">Position</t>
        </is>
      </c>
      <c r="B41" t="inlineStr" s="4">
        <is>
          <t xml:space="preserve">Wert</t>
        </is>
      </c>
      <c r="C41" t="inlineStr" s="4">
        <is>
          <t xml:space="preserve">Einheit</t>
        </is>
      </c>
      <c r="D41" t="inlineStr" s="4">
        <is>
          <t xml:space="preserve">Arbeitslohn netto</t>
        </is>
      </c>
      <c r="E41" t="inlineStr" s="4">
        <is>
          <t xml:space="preserve">Brutto inkl. MwSt.</t>
        </is>
      </c>
    </row>
    <row r="42">
      <c r="A42" t="inlineStr" s="5">
        <is>
          <t xml:space="preserve">Montagestunden (inkl. Zuleitung und Anmeldung)</t>
        </is>
      </c>
      <c r="B42" s="9">
        <v>7</v>
      </c>
      <c r="C42" t="inlineStr" s="5">
        <is>
          <t xml:space="preserve">Std.</t>
        </is>
      </c>
      <c r="D42" s="10">
        <f>B42*'Allgemein'!$B$17</f>
      </c>
      <c r="E42" s="10">
        <f>D42*(1+'Allgemein'!$B$19)</f>
      </c>
    </row>
  </sheetData>
  <dataValidations count="2">
    <dataValidation type="list" allowBlank="1" showErrorMessage="1" sqref="B4">
      <formula1>"Ja,Nein"</formula1>
    </dataValidation>
    <dataValidation type="list" allowBlank="1" showErrorMessage="1" sqref="A29:A37">
      <formula1>"Ja,Nein"</formula1>
    </dataValidation>
  </dataValidations>
  <pageMargins left="0.5" right="0.5" top="0.6" bottom="0.6" header="0.3" footer="0.3"/>
</worksheet>
</file>

<file path=xl/worksheets/sheet9.xml><?xml version="1.0" encoding="utf-8"?>
<worksheet xmlns="http://schemas.openxmlformats.org/spreadsheetml/2006/main" xmlns:r="http://schemas.openxmlformats.org/officeDocument/2006/relationships">
  <sheetViews>
    <sheetView workbookViewId="0" showGridLines="0"/>
  </sheetViews>
  <sheetFormatPr defaultRowHeight="15"/>
  <sheetData>
    <row r="1">
      <c r="A1" t="inlineStr" s="0">
        <is>
          <t xml:space="preserve">V</t>
        </is>
      </c>
      <c r="B1" t="inlineStr" s="0">
        <is>
          <t xml:space="preserve">Allgemein</t>
        </is>
      </c>
      <c r="C1" t="inlineStr" s="0">
        <is>
          <t xml:space="preserve">B7</t>
        </is>
      </c>
      <c r="D1" t="inlineStr" s="0">
        <is>
          <t xml:space="preserve">wp</t>
        </is>
      </c>
    </row>
    <row r="2">
      <c r="A2" t="inlineStr" s="0">
        <is>
          <t xml:space="preserve">V</t>
        </is>
      </c>
      <c r="B2" t="inlineStr" s="0">
        <is>
          <t xml:space="preserve">Allgemein</t>
        </is>
      </c>
      <c r="C2" t="inlineStr" s="0">
        <is>
          <t xml:space="preserve">B8</t>
        </is>
      </c>
      <c r="D2" t="inlineStr" s="0">
        <is>
          <t xml:space="preserve">pv</t>
        </is>
      </c>
    </row>
    <row r="3">
      <c r="A3" t="inlineStr" s="0">
        <is>
          <t xml:space="preserve">V</t>
        </is>
      </c>
      <c r="B3" t="inlineStr" s="0">
        <is>
          <t xml:space="preserve">Allgemein</t>
        </is>
      </c>
      <c r="C3" t="inlineStr" s="0">
        <is>
          <t xml:space="preserve">B9</t>
        </is>
      </c>
      <c r="D3" t="inlineStr" s="0">
        <is>
          <t xml:space="preserve">klima</t>
        </is>
      </c>
    </row>
    <row r="4">
      <c r="A4" t="inlineStr" s="0">
        <is>
          <t xml:space="preserve">V</t>
        </is>
      </c>
      <c r="B4" t="inlineStr" s="0">
        <is>
          <t xml:space="preserve">Allgemein</t>
        </is>
      </c>
      <c r="C4" t="inlineStr" s="0">
        <is>
          <t xml:space="preserve">B10</t>
        </is>
      </c>
      <c r="D4" t="inlineStr" s="0">
        <is>
          <t xml:space="preserve">smart</t>
        </is>
      </c>
    </row>
    <row r="5">
      <c r="A5" t="inlineStr" s="0">
        <is>
          <t xml:space="preserve">V</t>
        </is>
      </c>
      <c r="B5" t="inlineStr" s="0">
        <is>
          <t xml:space="preserve">Allgemein</t>
        </is>
      </c>
      <c r="C5" t="inlineStr" s="0">
        <is>
          <t xml:space="preserve">B11</t>
        </is>
      </c>
      <c r="D5" t="inlineStr" s="0">
        <is>
          <t xml:space="preserve">elektro</t>
        </is>
      </c>
    </row>
    <row r="6">
      <c r="A6" t="inlineStr" s="0">
        <is>
          <t xml:space="preserve">V</t>
        </is>
      </c>
      <c r="B6" t="inlineStr" s="0">
        <is>
          <t xml:space="preserve">Allgemein</t>
        </is>
      </c>
      <c r="C6" t="inlineStr" s="0">
        <is>
          <t xml:space="preserve">B12</t>
        </is>
      </c>
      <c r="D6" t="inlineStr" s="0">
        <is>
          <t xml:space="preserve">shop</t>
        </is>
      </c>
    </row>
    <row r="7">
      <c r="A7" t="inlineStr" s="0">
        <is>
          <t xml:space="preserve">V</t>
        </is>
      </c>
      <c r="B7" t="inlineStr" s="0">
        <is>
          <t xml:space="preserve">Allgemein</t>
        </is>
      </c>
      <c r="C7" t="inlineStr" s="0">
        <is>
          <t xml:space="preserve">B13</t>
        </is>
      </c>
      <c r="D7" t="inlineStr" s="0">
        <is>
          <t xml:space="preserve">chat</t>
        </is>
      </c>
    </row>
    <row r="8">
      <c r="A8" t="inlineStr" s="0">
        <is>
          <t xml:space="preserve">F</t>
        </is>
      </c>
      <c r="B8" t="inlineStr" s="0">
        <is>
          <t xml:space="preserve">Allgemein</t>
        </is>
      </c>
      <c r="C8" t="inlineStr" s="0">
        <is>
          <t xml:space="preserve">B17</t>
        </is>
      </c>
      <c r="D8" t="inlineStr" s="0">
        <is>
          <t xml:space="preserve">allgemein.stundensatz</t>
        </is>
      </c>
      <c r="E8" t="inlineStr" s="0">
        <is>
          <t xml:space="preserve">num</t>
        </is>
      </c>
    </row>
    <row r="9">
      <c r="A9" t="inlineStr" s="0">
        <is>
          <t xml:space="preserve">F</t>
        </is>
      </c>
      <c r="B9" t="inlineStr" s="0">
        <is>
          <t xml:space="preserve">Allgemein</t>
        </is>
      </c>
      <c r="C9" t="inlineStr" s="0">
        <is>
          <t xml:space="preserve">B18</t>
        </is>
      </c>
      <c r="D9" t="inlineStr" s="0">
        <is>
          <t xml:space="preserve">allgemein.anfahrt</t>
        </is>
      </c>
      <c r="E9" t="inlineStr" s="0">
        <is>
          <t xml:space="preserve">num</t>
        </is>
      </c>
    </row>
    <row r="10">
      <c r="A10" t="inlineStr" s="0">
        <is>
          <t xml:space="preserve">F</t>
        </is>
      </c>
      <c r="B10" t="inlineStr" s="0">
        <is>
          <t xml:space="preserve">Allgemein</t>
        </is>
      </c>
      <c r="C10" t="inlineStr" s="0">
        <is>
          <t xml:space="preserve">B19</t>
        </is>
      </c>
      <c r="D10" t="inlineStr" s="0">
        <is>
          <t xml:space="preserve">allgemein.mwst</t>
        </is>
      </c>
      <c r="E10" t="inlineStr" s="0">
        <is>
          <t xml:space="preserve">pct</t>
        </is>
      </c>
    </row>
    <row r="11">
      <c r="A11" t="inlineStr" s="0">
        <is>
          <t xml:space="preserve">F</t>
        </is>
      </c>
      <c r="B11" t="inlineStr" s="0">
        <is>
          <t xml:space="preserve">Allgemein</t>
        </is>
      </c>
      <c r="C11" t="inlineStr" s="0">
        <is>
          <t xml:space="preserve">B20</t>
        </is>
      </c>
      <c r="D11" t="inlineStr" s="0">
        <is>
          <t xml:space="preserve">allgemein.spanne</t>
        </is>
      </c>
      <c r="E11" t="inlineStr" s="0">
        <is>
          <t xml:space="preserve">pct</t>
        </is>
      </c>
    </row>
    <row r="12">
      <c r="A12" t="inlineStr" s="0">
        <is>
          <t xml:space="preserve">F</t>
        </is>
      </c>
      <c r="B12" t="inlineStr" s="0">
        <is>
          <t xml:space="preserve">Allgemein</t>
        </is>
      </c>
      <c r="C12" t="inlineStr" s="0">
        <is>
          <t xml:space="preserve">B21</t>
        </is>
      </c>
      <c r="D12" t="inlineStr" s="0">
        <is>
          <t xml:space="preserve">allgemein.gueltig_tage</t>
        </is>
      </c>
      <c r="E12" t="inlineStr" s="0">
        <is>
          <t xml:space="preserve">num</t>
        </is>
      </c>
    </row>
    <row r="13">
      <c r="A13" t="inlineStr" s="0">
        <is>
          <t xml:space="preserve">F</t>
        </is>
      </c>
      <c r="B13" t="inlineStr" s="0">
        <is>
          <t xml:space="preserve">Allgemein</t>
        </is>
      </c>
      <c r="C13" t="inlineStr" s="0">
        <is>
          <t xml:space="preserve">B26</t>
        </is>
      </c>
      <c r="D13" t="inlineStr" s="0">
        <is>
          <t xml:space="preserve">foerderung.grund</t>
        </is>
      </c>
      <c r="E13" t="inlineStr" s="0">
        <is>
          <t xml:space="preserve">pct</t>
        </is>
      </c>
    </row>
    <row r="14">
      <c r="A14" t="inlineStr" s="0">
        <is>
          <t xml:space="preserve">F</t>
        </is>
      </c>
      <c r="B14" t="inlineStr" s="0">
        <is>
          <t xml:space="preserve">Allgemein</t>
        </is>
      </c>
      <c r="C14" t="inlineStr" s="0">
        <is>
          <t xml:space="preserve">B27</t>
        </is>
      </c>
      <c r="D14" t="inlineStr" s="0">
        <is>
          <t xml:space="preserve">foerderung.kgb</t>
        </is>
      </c>
      <c r="E14" t="inlineStr" s="0">
        <is>
          <t xml:space="preserve">pct</t>
        </is>
      </c>
    </row>
    <row r="15">
      <c r="A15" t="inlineStr" s="0">
        <is>
          <t xml:space="preserve">F</t>
        </is>
      </c>
      <c r="B15" t="inlineStr" s="0">
        <is>
          <t xml:space="preserve">Allgemein</t>
        </is>
      </c>
      <c r="C15" t="inlineStr" s="0">
        <is>
          <t xml:space="preserve">B28</t>
        </is>
      </c>
      <c r="D15" t="inlineStr" s="0">
        <is>
          <t xml:space="preserve">foerderung.max</t>
        </is>
      </c>
      <c r="E15" t="inlineStr" s="0">
        <is>
          <t xml:space="preserve">pct</t>
        </is>
      </c>
    </row>
    <row r="16">
      <c r="A16" t="inlineStr" s="0">
        <is>
          <t xml:space="preserve">F</t>
        </is>
      </c>
      <c r="B16" t="inlineStr" s="0">
        <is>
          <t xml:space="preserve">Allgemein</t>
        </is>
      </c>
      <c r="C16" t="inlineStr" s="0">
        <is>
          <t xml:space="preserve">B29</t>
        </is>
      </c>
      <c r="D16" t="inlineStr" s="0">
        <is>
          <t xml:space="preserve">foerderung.max_einkommen</t>
        </is>
      </c>
      <c r="E16" t="inlineStr" s="0">
        <is>
          <t xml:space="preserve">pct</t>
        </is>
      </c>
    </row>
    <row r="17">
      <c r="A17" t="inlineStr" s="0">
        <is>
          <t xml:space="preserve">F</t>
        </is>
      </c>
      <c r="B17" t="inlineStr" s="0">
        <is>
          <t xml:space="preserve">Allgemein</t>
        </is>
      </c>
      <c r="C17" t="inlineStr" s="0">
        <is>
          <t xml:space="preserve">B30</t>
        </is>
      </c>
      <c r="D17" t="inlineStr" s="0">
        <is>
          <t xml:space="preserve">foerderung.kosten_max</t>
        </is>
      </c>
      <c r="E17" t="inlineStr" s="0">
        <is>
          <t xml:space="preserve">num</t>
        </is>
      </c>
    </row>
    <row r="18">
      <c r="A18" t="inlineStr" s="0">
        <is>
          <t xml:space="preserve">V</t>
        </is>
      </c>
      <c r="B18" t="inlineStr" s="0">
        <is>
          <t xml:space="preserve">Klimaanlage</t>
        </is>
      </c>
      <c r="C18" t="inlineStr" s="0">
        <is>
          <t xml:space="preserve">B4</t>
        </is>
      </c>
      <c r="D18" t="inlineStr" s="0">
        <is>
          <t xml:space="preserve">klima</t>
        </is>
      </c>
    </row>
    <row r="19">
      <c r="A19" t="inlineStr" s="0">
        <is>
          <t xml:space="preserve">T</t>
        </is>
      </c>
      <c r="B19" t="inlineStr" s="0">
        <is>
          <t xml:space="preserve">Klimaanlage</t>
        </is>
      </c>
      <c r="C19" t="inlineStr" s="0">
        <is>
          <t xml:space="preserve">9:57</t>
        </is>
      </c>
      <c r="D19" t="inlineStr" s="0">
        <is>
          <t xml:space="preserve">klima.geraete_single</t>
        </is>
      </c>
      <c r="E19" t="inlineStr" s="0">
        <is>
          <t xml:space="preserve">aktiv|bool,hersteller|text,modell|text,kw|num,klasse|sel|std=Standard;pre=Premium,bauform|sel|wand=Wandgerät;truhe=Truhe/Konsole;kassette=Kassette;kanal=Kanalgerät,preis|num,ek_kuehl|sel|=–;A+++=A+++;A++=A++;A+=A+;A=A;B=B;C=C;D=D,ek_heiz|sel|=–;A+++=A+++;A++=A++;A+=A+;A=A;B=B;C=C;D=D,seer|num,scop|num,schall|num,kaeltemittel|text,label|text,datenblatt|text</t>
        </is>
      </c>
    </row>
    <row r="20">
      <c r="A20" t="inlineStr" s="0">
        <is>
          <t xml:space="preserve">T</t>
        </is>
      </c>
      <c r="B20" t="inlineStr" s="0">
        <is>
          <t xml:space="preserve">Klimaanlage</t>
        </is>
      </c>
      <c r="C20" t="inlineStr" s="0">
        <is>
          <t xml:space="preserve">63:126</t>
        </is>
      </c>
      <c r="D20" t="inlineStr" s="0">
        <is>
          <t xml:space="preserve">klima.innengeraete_multi</t>
        </is>
      </c>
      <c r="E20" t="inlineStr" s="0">
        <is>
          <t xml:space="preserve">aktiv|bool,hersteller|text,modell|text,kw|num,klasse|sel|std=Standard;pre=Premium,bauform|sel|wand=Wandgerät;truhe=Truhe/Konsole;kassette=Kassette;kanal=Kanalgerät,preis|num,schall|num,kaeltemittel|text,datenblatt|text</t>
        </is>
      </c>
    </row>
    <row r="21">
      <c r="A21" t="inlineStr" s="0">
        <is>
          <t xml:space="preserve">T</t>
        </is>
      </c>
      <c r="B21" t="inlineStr" s="0">
        <is>
          <t xml:space="preserve">Klimaanlage</t>
        </is>
      </c>
      <c r="C21" t="inlineStr" s="0">
        <is>
          <t xml:space="preserve">131:148</t>
        </is>
      </c>
      <c r="D21" t="inlineStr" s="0">
        <is>
          <t xml:space="preserve">klima.aussengeraete_multi</t>
        </is>
      </c>
      <c r="E21" t="inlineStr" s="0">
        <is>
          <t xml:space="preserve">aktiv|bool,hersteller|text,modell|text,anschluesse|num,kw|num,preis|num,ek_kuehl|sel|=–;A+++=A+++;A++=A++;A+=A+;A=A;B=B;C=C;D=D,ek_heiz|sel|=–;A+++=A+++;A++=A++;A+=A+;A=A;B=B;C=C;D=D,seer|num,scop|num,kaeltemittel|text,label|text,datenblatt|text</t>
        </is>
      </c>
    </row>
    <row r="22">
      <c r="A22" t="inlineStr" s="0">
        <is>
          <t xml:space="preserve">T</t>
        </is>
      </c>
      <c r="B22" t="inlineStr" s="0">
        <is>
          <t xml:space="preserve">Klimaanlage</t>
        </is>
      </c>
      <c r="C22" t="inlineStr" s="0">
        <is>
          <t xml:space="preserve">154:162</t>
        </is>
      </c>
      <c r="D22" t="inlineStr" s="0">
        <is>
          <t xml:space="preserve">klima.broschueren</t>
        </is>
      </c>
      <c r="E22" t="inlineStr" s="0">
        <is>
          <t xml:space="preserve">aktiv|bool,hersteller|text,titel|text,info|text,url|text</t>
        </is>
      </c>
    </row>
    <row r="23">
      <c r="A23" t="inlineStr" s="0">
        <is>
          <t xml:space="preserve">F</t>
        </is>
      </c>
      <c r="B23" t="inlineStr" s="0">
        <is>
          <t xml:space="preserve">Klimaanlage</t>
        </is>
      </c>
      <c r="C23" t="inlineStr" s="0">
        <is>
          <t xml:space="preserve">B167</t>
        </is>
      </c>
      <c r="D23" t="inlineStr" s="0">
        <is>
          <t xml:space="preserve">klima.arbeit.single_h</t>
        </is>
      </c>
      <c r="E23" t="inlineStr" s="0">
        <is>
          <t xml:space="preserve">num</t>
        </is>
      </c>
    </row>
    <row r="24">
      <c r="A24" t="inlineStr" s="0">
        <is>
          <t xml:space="preserve">F</t>
        </is>
      </c>
      <c r="B24" t="inlineStr" s="0">
        <is>
          <t xml:space="preserve">Klimaanlage</t>
        </is>
      </c>
      <c r="C24" t="inlineStr" s="0">
        <is>
          <t xml:space="preserve">B168</t>
        </is>
      </c>
      <c r="D24" t="inlineStr" s="0">
        <is>
          <t xml:space="preserve">klima.arbeit.multi_basis_h</t>
        </is>
      </c>
      <c r="E24" t="inlineStr" s="0">
        <is>
          <t xml:space="preserve">num</t>
        </is>
      </c>
    </row>
    <row r="25">
      <c r="A25" t="inlineStr" s="0">
        <is>
          <t xml:space="preserve">F</t>
        </is>
      </c>
      <c r="B25" t="inlineStr" s="0">
        <is>
          <t xml:space="preserve">Klimaanlage</t>
        </is>
      </c>
      <c r="C25" t="inlineStr" s="0">
        <is>
          <t xml:space="preserve">B169</t>
        </is>
      </c>
      <c r="D25" t="inlineStr" s="0">
        <is>
          <t xml:space="preserve">klima.arbeit.multi_je_innen_h</t>
        </is>
      </c>
      <c r="E25" t="inlineStr" s="0">
        <is>
          <t xml:space="preserve">num</t>
        </is>
      </c>
    </row>
    <row r="26">
      <c r="A26" t="inlineStr" s="0">
        <is>
          <t xml:space="preserve">F</t>
        </is>
      </c>
      <c r="B26" t="inlineStr" s="0">
        <is>
          <t xml:space="preserve">Klimaanlage</t>
        </is>
      </c>
      <c r="C26" t="inlineStr" s="0">
        <is>
          <t xml:space="preserve">B170</t>
        </is>
      </c>
      <c r="D26" t="inlineStr" s="0">
        <is>
          <t xml:space="preserve">klima.arbeit.leitung_m_h</t>
        </is>
      </c>
      <c r="E26" t="inlineStr" s="0">
        <is>
          <t xml:space="preserve">num</t>
        </is>
      </c>
    </row>
    <row r="27">
      <c r="A27" t="inlineStr" s="0">
        <is>
          <t xml:space="preserve">F</t>
        </is>
      </c>
      <c r="B27" t="inlineStr" s="0">
        <is>
          <t xml:space="preserve">Klimaanlage</t>
        </is>
      </c>
      <c r="C27" t="inlineStr" s="0">
        <is>
          <t xml:space="preserve">B171</t>
        </is>
      </c>
      <c r="D27" t="inlineStr" s="0">
        <is>
          <t xml:space="preserve">klima.arbeit.kernbohrung_h</t>
        </is>
      </c>
      <c r="E27" t="inlineStr" s="0">
        <is>
          <t xml:space="preserve">num</t>
        </is>
      </c>
    </row>
    <row r="28">
      <c r="A28" t="inlineStr" s="0">
        <is>
          <t xml:space="preserve">F</t>
        </is>
      </c>
      <c r="B28" t="inlineStr" s="0">
        <is>
          <t xml:space="preserve">Klimaanlage</t>
        </is>
      </c>
      <c r="C28" t="inlineStr" s="0">
        <is>
          <t xml:space="preserve">B172</t>
        </is>
      </c>
      <c r="D28" t="inlineStr" s="0">
        <is>
          <t xml:space="preserve">klima.arbeit.pumpe_h</t>
        </is>
      </c>
      <c r="E28" t="inlineStr" s="0">
        <is>
          <t xml:space="preserve">num</t>
        </is>
      </c>
    </row>
    <row r="29">
      <c r="A29" t="inlineStr" s="0">
        <is>
          <t xml:space="preserve">F</t>
        </is>
      </c>
      <c r="B29" t="inlineStr" s="0">
        <is>
          <t xml:space="preserve">Klimaanlage</t>
        </is>
      </c>
      <c r="C29" t="inlineStr" s="0">
        <is>
          <t xml:space="preserve">B173</t>
        </is>
      </c>
      <c r="D29" t="inlineStr" s="0">
        <is>
          <t xml:space="preserve">klima.arbeit.stromkreis_h</t>
        </is>
      </c>
      <c r="E29" t="inlineStr" s="0">
        <is>
          <t xml:space="preserve">num</t>
        </is>
      </c>
    </row>
    <row r="30">
      <c r="A30" t="inlineStr" s="0">
        <is>
          <t xml:space="preserve">F</t>
        </is>
      </c>
      <c r="B30" t="inlineStr" s="0">
        <is>
          <t xml:space="preserve">Klimaanlage</t>
        </is>
      </c>
      <c r="C30" t="inlineStr" s="0">
        <is>
          <t xml:space="preserve">B174</t>
        </is>
      </c>
      <c r="D30" t="inlineStr" s="0">
        <is>
          <t xml:space="preserve">klima.arbeit.konsole_h</t>
        </is>
      </c>
      <c r="E30" t="inlineStr" s="0">
        <is>
          <t xml:space="preserve">num</t>
        </is>
      </c>
    </row>
    <row r="31">
      <c r="A31" t="inlineStr" s="0">
        <is>
          <t xml:space="preserve">F</t>
        </is>
      </c>
      <c r="B31" t="inlineStr" s="0">
        <is>
          <t xml:space="preserve">Klimaanlage</t>
        </is>
      </c>
      <c r="C31" t="inlineStr" s="0">
        <is>
          <t xml:space="preserve">B178</t>
        </is>
      </c>
      <c r="D31" t="inlineStr" s="0">
        <is>
          <t xml:space="preserve">klima.material.grund_single</t>
        </is>
      </c>
      <c r="E31" t="inlineStr" s="0">
        <is>
          <t xml:space="preserve">num</t>
        </is>
      </c>
    </row>
    <row r="32">
      <c r="A32" t="inlineStr" s="0">
        <is>
          <t xml:space="preserve">F</t>
        </is>
      </c>
      <c r="B32" t="inlineStr" s="0">
        <is>
          <t xml:space="preserve">Klimaanlage</t>
        </is>
      </c>
      <c r="C32" t="inlineStr" s="0">
        <is>
          <t xml:space="preserve">B179</t>
        </is>
      </c>
      <c r="D32" t="inlineStr" s="0">
        <is>
          <t xml:space="preserve">klima.material.grund_je_innen</t>
        </is>
      </c>
      <c r="E32" t="inlineStr" s="0">
        <is>
          <t xml:space="preserve">num</t>
        </is>
      </c>
    </row>
    <row r="33">
      <c r="A33" t="inlineStr" s="0">
        <is>
          <t xml:space="preserve">F</t>
        </is>
      </c>
      <c r="B33" t="inlineStr" s="0">
        <is>
          <t xml:space="preserve">Klimaanlage</t>
        </is>
      </c>
      <c r="C33" t="inlineStr" s="0">
        <is>
          <t xml:space="preserve">B180</t>
        </is>
      </c>
      <c r="D33" t="inlineStr" s="0">
        <is>
          <t xml:space="preserve">klima.material.leitung_m</t>
        </is>
      </c>
      <c r="E33" t="inlineStr" s="0">
        <is>
          <t xml:space="preserve">num</t>
        </is>
      </c>
    </row>
    <row r="34">
      <c r="A34" t="inlineStr" s="0">
        <is>
          <t xml:space="preserve">F</t>
        </is>
      </c>
      <c r="B34" t="inlineStr" s="0">
        <is>
          <t xml:space="preserve">Klimaanlage</t>
        </is>
      </c>
      <c r="C34" t="inlineStr" s="0">
        <is>
          <t xml:space="preserve">B181</t>
        </is>
      </c>
      <c r="D34" t="inlineStr" s="0">
        <is>
          <t xml:space="preserve">klima.material.bodenkonsole</t>
        </is>
      </c>
      <c r="E34" t="inlineStr" s="0">
        <is>
          <t xml:space="preserve">num</t>
        </is>
      </c>
    </row>
    <row r="35">
      <c r="A35" t="inlineStr" s="0">
        <is>
          <t xml:space="preserve">F</t>
        </is>
      </c>
      <c r="B35" t="inlineStr" s="0">
        <is>
          <t xml:space="preserve">Klimaanlage</t>
        </is>
      </c>
      <c r="C35" t="inlineStr" s="0">
        <is>
          <t xml:space="preserve">B182</t>
        </is>
      </c>
      <c r="D35" t="inlineStr" s="0">
        <is>
          <t xml:space="preserve">klima.material.dachgestell</t>
        </is>
      </c>
      <c r="E35" t="inlineStr" s="0">
        <is>
          <t xml:space="preserve">num</t>
        </is>
      </c>
    </row>
    <row r="36">
      <c r="A36" t="inlineStr" s="0">
        <is>
          <t xml:space="preserve">F</t>
        </is>
      </c>
      <c r="B36" t="inlineStr" s="0">
        <is>
          <t xml:space="preserve">Klimaanlage</t>
        </is>
      </c>
      <c r="C36" t="inlineStr" s="0">
        <is>
          <t xml:space="preserve">B183</t>
        </is>
      </c>
      <c r="D36" t="inlineStr" s="0">
        <is>
          <t xml:space="preserve">klima.material.kernbohrung</t>
        </is>
      </c>
      <c r="E36" t="inlineStr" s="0">
        <is>
          <t xml:space="preserve">num</t>
        </is>
      </c>
    </row>
    <row r="37">
      <c r="A37" t="inlineStr" s="0">
        <is>
          <t xml:space="preserve">F</t>
        </is>
      </c>
      <c r="B37" t="inlineStr" s="0">
        <is>
          <t xml:space="preserve">Klimaanlage</t>
        </is>
      </c>
      <c r="C37" t="inlineStr" s="0">
        <is>
          <t xml:space="preserve">B184</t>
        </is>
      </c>
      <c r="D37" t="inlineStr" s="0">
        <is>
          <t xml:space="preserve">klima.material.pumpe</t>
        </is>
      </c>
      <c r="E37" t="inlineStr" s="0">
        <is>
          <t xml:space="preserve">num</t>
        </is>
      </c>
    </row>
    <row r="38">
      <c r="A38" t="inlineStr" s="0">
        <is>
          <t xml:space="preserve">F</t>
        </is>
      </c>
      <c r="B38" t="inlineStr" s="0">
        <is>
          <t xml:space="preserve">Klimaanlage</t>
        </is>
      </c>
      <c r="C38" t="inlineStr" s="0">
        <is>
          <t xml:space="preserve">B185</t>
        </is>
      </c>
      <c r="D38" t="inlineStr" s="0">
        <is>
          <t xml:space="preserve">klima.material.stromkreis</t>
        </is>
      </c>
      <c r="E38" t="inlineStr" s="0">
        <is>
          <t xml:space="preserve">num</t>
        </is>
      </c>
    </row>
    <row r="39">
      <c r="A39" t="inlineStr" s="0">
        <is>
          <t xml:space="preserve">F</t>
        </is>
      </c>
      <c r="B39" t="inlineStr" s="0">
        <is>
          <t xml:space="preserve">Klimaanlage</t>
        </is>
      </c>
      <c r="C39" t="inlineStr" s="0">
        <is>
          <t xml:space="preserve">B189</t>
        </is>
      </c>
      <c r="D39" t="inlineStr" s="0">
        <is>
          <t xml:space="preserve">klima.wartung_jahr</t>
        </is>
      </c>
      <c r="E39" t="inlineStr" s="0">
        <is>
          <t xml:space="preserve">num</t>
        </is>
      </c>
    </row>
    <row r="40">
      <c r="A40" t="inlineStr" s="0">
        <is>
          <t xml:space="preserve">F</t>
        </is>
      </c>
      <c r="B40" t="inlineStr" s="0">
        <is>
          <t xml:space="preserve">Klimaanlage</t>
        </is>
      </c>
      <c r="C40" t="inlineStr" s="0">
        <is>
          <t xml:space="preserve">B190</t>
        </is>
      </c>
      <c r="D40" t="inlineStr" s="0">
        <is>
          <t xml:space="preserve">klima.kw_je_m2</t>
        </is>
      </c>
      <c r="E40" t="inlineStr" s="0">
        <is>
          <t xml:space="preserve">num</t>
        </is>
      </c>
    </row>
    <row r="41">
      <c r="A41" t="inlineStr" s="0">
        <is>
          <t xml:space="preserve">V</t>
        </is>
      </c>
      <c r="B41" t="inlineStr" s="0">
        <is>
          <t xml:space="preserve">Wärmepumpe</t>
        </is>
      </c>
      <c r="C41" t="inlineStr" s="0">
        <is>
          <t xml:space="preserve">B4</t>
        </is>
      </c>
      <c r="D41" t="inlineStr" s="0">
        <is>
          <t xml:space="preserve">wp</t>
        </is>
      </c>
    </row>
    <row r="42">
      <c r="A42" t="inlineStr" s="0">
        <is>
          <t xml:space="preserve">T</t>
        </is>
      </c>
      <c r="B42" t="inlineStr" s="0">
        <is>
          <t xml:space="preserve">Wärmepumpe</t>
        </is>
      </c>
      <c r="C42" t="inlineStr" s="0">
        <is>
          <t xml:space="preserve">9:18</t>
        </is>
      </c>
      <c r="D42" t="inlineStr" s="0">
        <is>
          <t xml:space="preserve">wp.geraete</t>
        </is>
      </c>
      <c r="E42" t="inlineStr" s="0">
        <is>
          <t xml:space="preserve">aktiv|bool,hersteller|text,modell|text,kw|num,preis|num,ek|sel|=–;A+++=A+++;A++=A++;A+=A+;A=A;B=B;C=C;D=D,label|text,datenblatt|text</t>
        </is>
      </c>
    </row>
    <row r="43">
      <c r="A43" t="inlineStr" s="0">
        <is>
          <t xml:space="preserve">F</t>
        </is>
      </c>
      <c r="B43" t="inlineStr" s="0">
        <is>
          <t xml:space="preserve">Wärmepumpe</t>
        </is>
      </c>
      <c r="C43" t="inlineStr" s="0">
        <is>
          <t xml:space="preserve">B23</t>
        </is>
      </c>
      <c r="D43" t="inlineStr" s="0">
        <is>
          <t xml:space="preserve">wp.arbeit.montage_h</t>
        </is>
      </c>
      <c r="E43" t="inlineStr" s="0">
        <is>
          <t xml:space="preserve">num</t>
        </is>
      </c>
    </row>
    <row r="44">
      <c r="A44" t="inlineStr" s="0">
        <is>
          <t xml:space="preserve">F</t>
        </is>
      </c>
      <c r="B44" t="inlineStr" s="0">
        <is>
          <t xml:space="preserve">Wärmepumpe</t>
        </is>
      </c>
      <c r="C44" t="inlineStr" s="0">
        <is>
          <t xml:space="preserve">B24</t>
        </is>
      </c>
      <c r="D44" t="inlineStr" s="0">
        <is>
          <t xml:space="preserve">wp.arbeit.demontage_oel_h</t>
        </is>
      </c>
      <c r="E44" t="inlineStr" s="0">
        <is>
          <t xml:space="preserve">num</t>
        </is>
      </c>
    </row>
    <row r="45">
      <c r="A45" t="inlineStr" s="0">
        <is>
          <t xml:space="preserve">F</t>
        </is>
      </c>
      <c r="B45" t="inlineStr" s="0">
        <is>
          <t xml:space="preserve">Wärmepumpe</t>
        </is>
      </c>
      <c r="C45" t="inlineStr" s="0">
        <is>
          <t xml:space="preserve">B25</t>
        </is>
      </c>
      <c r="D45" t="inlineStr" s="0">
        <is>
          <t xml:space="preserve">wp.arbeit.demontage_gas_h</t>
        </is>
      </c>
      <c r="E45" t="inlineStr" s="0">
        <is>
          <t xml:space="preserve">num</t>
        </is>
      </c>
    </row>
    <row r="46">
      <c r="A46" t="inlineStr" s="0">
        <is>
          <t xml:space="preserve">F</t>
        </is>
      </c>
      <c r="B46" t="inlineStr" s="0">
        <is>
          <t xml:space="preserve">Wärmepumpe</t>
        </is>
      </c>
      <c r="C46" t="inlineStr" s="0">
        <is>
          <t xml:space="preserve">B26</t>
        </is>
      </c>
      <c r="D46" t="inlineStr" s="0">
        <is>
          <t xml:space="preserve">wp.arbeit.demontage_ns_h</t>
        </is>
      </c>
      <c r="E46" t="inlineStr" s="0">
        <is>
          <t xml:space="preserve">num</t>
        </is>
      </c>
    </row>
    <row r="47">
      <c r="A47" t="inlineStr" s="0">
        <is>
          <t xml:space="preserve">F</t>
        </is>
      </c>
      <c r="B47" t="inlineStr" s="0">
        <is>
          <t xml:space="preserve">Wärmepumpe</t>
        </is>
      </c>
      <c r="C47" t="inlineStr" s="0">
        <is>
          <t xml:space="preserve">B27</t>
        </is>
      </c>
      <c r="D47" t="inlineStr" s="0">
        <is>
          <t xml:space="preserve">wp.arbeit.heizkoerper_h</t>
        </is>
      </c>
      <c r="E47" t="inlineStr" s="0">
        <is>
          <t xml:space="preserve">num</t>
        </is>
      </c>
    </row>
    <row r="48">
      <c r="A48" t="inlineStr" s="0">
        <is>
          <t xml:space="preserve">F</t>
        </is>
      </c>
      <c r="B48" t="inlineStr" s="0">
        <is>
          <t xml:space="preserve">Wärmepumpe</t>
        </is>
      </c>
      <c r="C48" t="inlineStr" s="0">
        <is>
          <t xml:space="preserve">B28</t>
        </is>
      </c>
      <c r="D48" t="inlineStr" s="0">
        <is>
          <t xml:space="preserve">wp.arbeit.zaehler_h</t>
        </is>
      </c>
      <c r="E48" t="inlineStr" s="0">
        <is>
          <t xml:space="preserve">num</t>
        </is>
      </c>
    </row>
    <row r="49">
      <c r="A49" t="inlineStr" s="0">
        <is>
          <t xml:space="preserve">F</t>
        </is>
      </c>
      <c r="B49" t="inlineStr" s="0">
        <is>
          <t xml:space="preserve">Wärmepumpe</t>
        </is>
      </c>
      <c r="C49" t="inlineStr" s="0">
        <is>
          <t xml:space="preserve">B32</t>
        </is>
      </c>
      <c r="D49" t="inlineStr" s="0">
        <is>
          <t xml:space="preserve">wp.material.hydraulik_paket</t>
        </is>
      </c>
      <c r="E49" t="inlineStr" s="0">
        <is>
          <t xml:space="preserve">num</t>
        </is>
      </c>
    </row>
    <row r="50">
      <c r="A50" t="inlineStr" s="0">
        <is>
          <t xml:space="preserve">F</t>
        </is>
      </c>
      <c r="B50" t="inlineStr" s="0">
        <is>
          <t xml:space="preserve">Wärmepumpe</t>
        </is>
      </c>
      <c r="C50" t="inlineStr" s="0">
        <is>
          <t xml:space="preserve">B33</t>
        </is>
      </c>
      <c r="D50" t="inlineStr" s="0">
        <is>
          <t xml:space="preserve">wp.material.entsorgung_oel</t>
        </is>
      </c>
      <c r="E50" t="inlineStr" s="0">
        <is>
          <t xml:space="preserve">num</t>
        </is>
      </c>
    </row>
    <row r="51">
      <c r="A51" t="inlineStr" s="0">
        <is>
          <t xml:space="preserve">F</t>
        </is>
      </c>
      <c r="B51" t="inlineStr" s="0">
        <is>
          <t xml:space="preserve">Wärmepumpe</t>
        </is>
      </c>
      <c r="C51" t="inlineStr" s="0">
        <is>
          <t xml:space="preserve">B34</t>
        </is>
      </c>
      <c r="D51" t="inlineStr" s="0">
        <is>
          <t xml:space="preserve">wp.material.entsorgung_gas</t>
        </is>
      </c>
      <c r="E51" t="inlineStr" s="0">
        <is>
          <t xml:space="preserve">num</t>
        </is>
      </c>
    </row>
    <row r="52">
      <c r="A52" t="inlineStr" s="0">
        <is>
          <t xml:space="preserve">F</t>
        </is>
      </c>
      <c r="B52" t="inlineStr" s="0">
        <is>
          <t xml:space="preserve">Wärmepumpe</t>
        </is>
      </c>
      <c r="C52" t="inlineStr" s="0">
        <is>
          <t xml:space="preserve">B35</t>
        </is>
      </c>
      <c r="D52" t="inlineStr" s="0">
        <is>
          <t xml:space="preserve">wp.material.entsorgung_ns</t>
        </is>
      </c>
      <c r="E52" t="inlineStr" s="0">
        <is>
          <t xml:space="preserve">num</t>
        </is>
      </c>
    </row>
    <row r="53">
      <c r="A53" t="inlineStr" s="0">
        <is>
          <t xml:space="preserve">F</t>
        </is>
      </c>
      <c r="B53" t="inlineStr" s="0">
        <is>
          <t xml:space="preserve">Wärmepumpe</t>
        </is>
      </c>
      <c r="C53" t="inlineStr" s="0">
        <is>
          <t xml:space="preserve">B36</t>
        </is>
      </c>
      <c r="D53" t="inlineStr" s="0">
        <is>
          <t xml:space="preserve">wp.material.heizkoerper</t>
        </is>
      </c>
      <c r="E53" t="inlineStr" s="0">
        <is>
          <t xml:space="preserve">num</t>
        </is>
      </c>
    </row>
    <row r="54">
      <c r="A54" t="inlineStr" s="0">
        <is>
          <t xml:space="preserve">F</t>
        </is>
      </c>
      <c r="B54" t="inlineStr" s="0">
        <is>
          <t xml:space="preserve">Wärmepumpe</t>
        </is>
      </c>
      <c r="C54" t="inlineStr" s="0">
        <is>
          <t xml:space="preserve">B37</t>
        </is>
      </c>
      <c r="D54" t="inlineStr" s="0">
        <is>
          <t xml:space="preserve">wp.material.zaehler</t>
        </is>
      </c>
      <c r="E54" t="inlineStr" s="0">
        <is>
          <t xml:space="preserve">num</t>
        </is>
      </c>
    </row>
    <row r="55">
      <c r="A55" t="inlineStr" s="0">
        <is>
          <t xml:space="preserve">F</t>
        </is>
      </c>
      <c r="B55" t="inlineStr" s="0">
        <is>
          <t xml:space="preserve">Wärmepumpe</t>
        </is>
      </c>
      <c r="C55" t="inlineStr" s="0">
        <is>
          <t xml:space="preserve">B41</t>
        </is>
      </c>
      <c r="D55" t="inlineStr" s="0">
        <is>
          <t xml:space="preserve">wp.ww_kw_je_person</t>
        </is>
      </c>
      <c r="E55" t="inlineStr" s="0">
        <is>
          <t xml:space="preserve">num</t>
        </is>
      </c>
    </row>
    <row r="56">
      <c r="A56" t="inlineStr" s="0">
        <is>
          <t xml:space="preserve">V</t>
        </is>
      </c>
      <c r="B56" t="inlineStr" s="0">
        <is>
          <t xml:space="preserve">Photovoltaik</t>
        </is>
      </c>
      <c r="C56" t="inlineStr" s="0">
        <is>
          <t xml:space="preserve">B4</t>
        </is>
      </c>
      <c r="D56" t="inlineStr" s="0">
        <is>
          <t xml:space="preserve">pv</t>
        </is>
      </c>
    </row>
    <row r="57">
      <c r="A57" t="inlineStr" s="0">
        <is>
          <t xml:space="preserve">T</t>
        </is>
      </c>
      <c r="B57" t="inlineStr" s="0">
        <is>
          <t xml:space="preserve">Photovoltaik</t>
        </is>
      </c>
      <c r="C57" t="inlineStr" s="0">
        <is>
          <t xml:space="preserve">9:15</t>
        </is>
      </c>
      <c r="D57" t="inlineStr" s="0">
        <is>
          <t xml:space="preserve">pv.module</t>
        </is>
      </c>
      <c r="E57" t="inlineStr" s="0">
        <is>
          <t xml:space="preserve">aktiv|bool,hersteller|text,modell|text,wp|num,preis|num</t>
        </is>
      </c>
    </row>
    <row r="58">
      <c r="A58" t="inlineStr" s="0">
        <is>
          <t xml:space="preserve">T</t>
        </is>
      </c>
      <c r="B58" t="inlineStr" s="0">
        <is>
          <t xml:space="preserve">Photovoltaik</t>
        </is>
      </c>
      <c r="C58" t="inlineStr" s="0">
        <is>
          <t xml:space="preserve">21:30</t>
        </is>
      </c>
      <c r="D58" t="inlineStr" s="0">
        <is>
          <t xml:space="preserve">pv.wechselrichter</t>
        </is>
      </c>
      <c r="E58" t="inlineStr" s="0">
        <is>
          <t xml:space="preserve">aktiv|bool,hersteller|text,modell|text,kw|num,preis|num</t>
        </is>
      </c>
    </row>
    <row r="59">
      <c r="A59" t="inlineStr" s="0">
        <is>
          <t xml:space="preserve">T</t>
        </is>
      </c>
      <c r="B59" t="inlineStr" s="0">
        <is>
          <t xml:space="preserve">Photovoltaik</t>
        </is>
      </c>
      <c r="C59" t="inlineStr" s="0">
        <is>
          <t xml:space="preserve">36:43</t>
        </is>
      </c>
      <c r="D59" t="inlineStr" s="0">
        <is>
          <t xml:space="preserve">pv.speicher</t>
        </is>
      </c>
      <c r="E59" t="inlineStr" s="0">
        <is>
          <t xml:space="preserve">aktiv|bool,hersteller|text,modell|text,kwh|num,preis|num</t>
        </is>
      </c>
    </row>
    <row r="60">
      <c r="A60" t="inlineStr" s="0">
        <is>
          <t xml:space="preserve">F</t>
        </is>
      </c>
      <c r="B60" t="inlineStr" s="0">
        <is>
          <t xml:space="preserve">Photovoltaik</t>
        </is>
      </c>
      <c r="C60" t="inlineStr" s="0">
        <is>
          <t xml:space="preserve">B49</t>
        </is>
      </c>
      <c r="D60" t="inlineStr" s="0">
        <is>
          <t xml:space="preserve">pv.wallbox_h</t>
        </is>
      </c>
      <c r="E60" t="inlineStr" s="0">
        <is>
          <t xml:space="preserve">num</t>
        </is>
      </c>
    </row>
    <row r="61">
      <c r="A61" t="inlineStr" s="0">
        <is>
          <t xml:space="preserve">F</t>
        </is>
      </c>
      <c r="B61" t="inlineStr" s="0">
        <is>
          <t xml:space="preserve">Photovoltaik</t>
        </is>
      </c>
      <c r="C61" t="inlineStr" s="0">
        <is>
          <t xml:space="preserve">B53</t>
        </is>
      </c>
      <c r="D61" t="inlineStr" s="0">
        <is>
          <t xml:space="preserve">pv.arbeit.basis_h</t>
        </is>
      </c>
      <c r="E61" t="inlineStr" s="0">
        <is>
          <t xml:space="preserve">num</t>
        </is>
      </c>
    </row>
    <row r="62">
      <c r="A62" t="inlineStr" s="0">
        <is>
          <t xml:space="preserve">F</t>
        </is>
      </c>
      <c r="B62" t="inlineStr" s="0">
        <is>
          <t xml:space="preserve">Photovoltaik</t>
        </is>
      </c>
      <c r="C62" t="inlineStr" s="0">
        <is>
          <t xml:space="preserve">B54</t>
        </is>
      </c>
      <c r="D62" t="inlineStr" s="0">
        <is>
          <t xml:space="preserve">pv.arbeit.je_modul_h</t>
        </is>
      </c>
      <c r="E62" t="inlineStr" s="0">
        <is>
          <t xml:space="preserve">num</t>
        </is>
      </c>
    </row>
    <row r="63">
      <c r="A63" t="inlineStr" s="0">
        <is>
          <t xml:space="preserve">F</t>
        </is>
      </c>
      <c r="B63" t="inlineStr" s="0">
        <is>
          <t xml:space="preserve">Photovoltaik</t>
        </is>
      </c>
      <c r="C63" t="inlineStr" s="0">
        <is>
          <t xml:space="preserve">B55</t>
        </is>
      </c>
      <c r="D63" t="inlineStr" s="0">
        <is>
          <t xml:space="preserve">pv.arbeit.speicher_h</t>
        </is>
      </c>
      <c r="E63" t="inlineStr" s="0">
        <is>
          <t xml:space="preserve">num</t>
        </is>
      </c>
    </row>
    <row r="64">
      <c r="A64" t="inlineStr" s="0">
        <is>
          <t xml:space="preserve">F</t>
        </is>
      </c>
      <c r="B64" t="inlineStr" s="0">
        <is>
          <t xml:space="preserve">Photovoltaik</t>
        </is>
      </c>
      <c r="C64" t="inlineStr" s="0">
        <is>
          <t xml:space="preserve">B56</t>
        </is>
      </c>
      <c r="D64" t="inlineStr" s="0">
        <is>
          <t xml:space="preserve">pv.arbeit.notstrom_h</t>
        </is>
      </c>
      <c r="E64" t="inlineStr" s="0">
        <is>
          <t xml:space="preserve">num</t>
        </is>
      </c>
    </row>
    <row r="65">
      <c r="A65" t="inlineStr" s="0">
        <is>
          <t xml:space="preserve">F</t>
        </is>
      </c>
      <c r="B65" t="inlineStr" s="0">
        <is>
          <t xml:space="preserve">Photovoltaik</t>
        </is>
      </c>
      <c r="C65" t="inlineStr" s="0">
        <is>
          <t xml:space="preserve">B60</t>
        </is>
      </c>
      <c r="D65" t="inlineStr" s="0">
        <is>
          <t xml:space="preserve">pv.material.unterkonstruktion_je_modul</t>
        </is>
      </c>
      <c r="E65" t="inlineStr" s="0">
        <is>
          <t xml:space="preserve">num</t>
        </is>
      </c>
    </row>
    <row r="66">
      <c r="A66" t="inlineStr" s="0">
        <is>
          <t xml:space="preserve">F</t>
        </is>
      </c>
      <c r="B66" t="inlineStr" s="0">
        <is>
          <t xml:space="preserve">Photovoltaik</t>
        </is>
      </c>
      <c r="C66" t="inlineStr" s="0">
        <is>
          <t xml:space="preserve">B61</t>
        </is>
      </c>
      <c r="D66" t="inlineStr" s="0">
        <is>
          <t xml:space="preserve">pv.material.kabel_kleinmaterial</t>
        </is>
      </c>
      <c r="E66" t="inlineStr" s="0">
        <is>
          <t xml:space="preserve">num</t>
        </is>
      </c>
    </row>
    <row r="67">
      <c r="A67" t="inlineStr" s="0">
        <is>
          <t xml:space="preserve">F</t>
        </is>
      </c>
      <c r="B67" t="inlineStr" s="0">
        <is>
          <t xml:space="preserve">Photovoltaik</t>
        </is>
      </c>
      <c r="C67" t="inlineStr" s="0">
        <is>
          <t xml:space="preserve">B62</t>
        </is>
      </c>
      <c r="D67" t="inlineStr" s="0">
        <is>
          <t xml:space="preserve">pv.material.geruest</t>
        </is>
      </c>
      <c r="E67" t="inlineStr" s="0">
        <is>
          <t xml:space="preserve">num</t>
        </is>
      </c>
    </row>
    <row r="68">
      <c r="A68" t="inlineStr" s="0">
        <is>
          <t xml:space="preserve">F</t>
        </is>
      </c>
      <c r="B68" t="inlineStr" s="0">
        <is>
          <t xml:space="preserve">Photovoltaik</t>
        </is>
      </c>
      <c r="C68" t="inlineStr" s="0">
        <is>
          <t xml:space="preserve">B63</t>
        </is>
      </c>
      <c r="D68" t="inlineStr" s="0">
        <is>
          <t xml:space="preserve">pv.material.zaehlerschrank</t>
        </is>
      </c>
      <c r="E68" t="inlineStr" s="0">
        <is>
          <t xml:space="preserve">num</t>
        </is>
      </c>
    </row>
    <row r="69">
      <c r="A69" t="inlineStr" s="0">
        <is>
          <t xml:space="preserve">F</t>
        </is>
      </c>
      <c r="B69" t="inlineStr" s="0">
        <is>
          <t xml:space="preserve">Photovoltaik</t>
        </is>
      </c>
      <c r="C69" t="inlineStr" s="0">
        <is>
          <t xml:space="preserve">B64</t>
        </is>
      </c>
      <c r="D69" t="inlineStr" s="0">
        <is>
          <t xml:space="preserve">pv.material.anmeldung</t>
        </is>
      </c>
      <c r="E69" t="inlineStr" s="0">
        <is>
          <t xml:space="preserve">num</t>
        </is>
      </c>
    </row>
    <row r="70">
      <c r="A70" t="inlineStr" s="0">
        <is>
          <t xml:space="preserve">F</t>
        </is>
      </c>
      <c r="B70" t="inlineStr" s="0">
        <is>
          <t xml:space="preserve">Photovoltaik</t>
        </is>
      </c>
      <c r="C70" t="inlineStr" s="0">
        <is>
          <t xml:space="preserve">B65</t>
        </is>
      </c>
      <c r="D70" t="inlineStr" s="0">
        <is>
          <t xml:space="preserve">pv.material.notstrom</t>
        </is>
      </c>
      <c r="E70" t="inlineStr" s="0">
        <is>
          <t xml:space="preserve">num</t>
        </is>
      </c>
    </row>
    <row r="71">
      <c r="A71" t="inlineStr" s="0">
        <is>
          <t xml:space="preserve">F</t>
        </is>
      </c>
      <c r="B71" t="inlineStr" s="0">
        <is>
          <t xml:space="preserve">Photovoltaik</t>
        </is>
      </c>
      <c r="C71" t="inlineStr" s="0">
        <is>
          <t xml:space="preserve">B69</t>
        </is>
      </c>
      <c r="D71" t="inlineStr" s="0">
        <is>
          <t xml:space="preserve">pv.ertrag_je_kwp</t>
        </is>
      </c>
      <c r="E71" t="inlineStr" s="0">
        <is>
          <t xml:space="preserve">num</t>
        </is>
      </c>
    </row>
    <row r="72">
      <c r="A72" t="inlineStr" s="0">
        <is>
          <t xml:space="preserve">F</t>
        </is>
      </c>
      <c r="B72" t="inlineStr" s="0">
        <is>
          <t xml:space="preserve">Photovoltaik</t>
        </is>
      </c>
      <c r="C72" t="inlineStr" s="0">
        <is>
          <t xml:space="preserve">B70</t>
        </is>
      </c>
      <c r="D72" t="inlineStr" s="0">
        <is>
          <t xml:space="preserve">pv.strompreis</t>
        </is>
      </c>
      <c r="E72" t="inlineStr" s="0">
        <is>
          <t xml:space="preserve">num</t>
        </is>
      </c>
    </row>
    <row r="73">
      <c r="A73" t="inlineStr" s="0">
        <is>
          <t xml:space="preserve">F</t>
        </is>
      </c>
      <c r="B73" t="inlineStr" s="0">
        <is>
          <t xml:space="preserve">Photovoltaik</t>
        </is>
      </c>
      <c r="C73" t="inlineStr" s="0">
        <is>
          <t xml:space="preserve">B71</t>
        </is>
      </c>
      <c r="D73" t="inlineStr" s="0">
        <is>
          <t xml:space="preserve">pv.einspeisung</t>
        </is>
      </c>
      <c r="E73" t="inlineStr" s="0">
        <is>
          <t xml:space="preserve">num</t>
        </is>
      </c>
    </row>
    <row r="74">
      <c r="A74" t="inlineStr" s="0">
        <is>
          <t xml:space="preserve">V</t>
        </is>
      </c>
      <c r="B74" t="inlineStr" s="0">
        <is>
          <t xml:space="preserve">Smart Home</t>
        </is>
      </c>
      <c r="C74" t="inlineStr" s="0">
        <is>
          <t xml:space="preserve">B4</t>
        </is>
      </c>
      <c r="D74" t="inlineStr" s="0">
        <is>
          <t xml:space="preserve">smart</t>
        </is>
      </c>
    </row>
    <row r="75">
      <c r="A75" t="inlineStr" s="0">
        <is>
          <t xml:space="preserve">F</t>
        </is>
      </c>
      <c r="B75" t="inlineStr" s="0">
        <is>
          <t xml:space="preserve">Smart Home</t>
        </is>
      </c>
      <c r="C75" t="inlineStr" s="0">
        <is>
          <t xml:space="preserve">B8</t>
        </is>
      </c>
      <c r="D75" t="inlineStr" s="0">
        <is>
          <t xml:space="preserve">smart.loxone.name</t>
        </is>
      </c>
      <c r="E75" t="inlineStr" s="0">
        <is>
          <t xml:space="preserve">txt</t>
        </is>
      </c>
    </row>
    <row r="76">
      <c r="A76" t="inlineStr" s="0">
        <is>
          <t xml:space="preserve">F</t>
        </is>
      </c>
      <c r="B76" t="inlineStr" s="0">
        <is>
          <t xml:space="preserve">Smart Home</t>
        </is>
      </c>
      <c r="C76" t="inlineStr" s="0">
        <is>
          <t xml:space="preserve">B9</t>
        </is>
      </c>
      <c r="D76" t="inlineStr" s="0">
        <is>
          <t xml:space="preserve">smart.loxone.zentrale.preis</t>
        </is>
      </c>
      <c r="E76" t="inlineStr" s="0">
        <is>
          <t xml:space="preserve">num</t>
        </is>
      </c>
    </row>
    <row r="77">
      <c r="A77" t="inlineStr" s="0">
        <is>
          <t xml:space="preserve">F</t>
        </is>
      </c>
      <c r="B77" t="inlineStr" s="0">
        <is>
          <t xml:space="preserve">Smart Home</t>
        </is>
      </c>
      <c r="C77" t="inlineStr" s="0">
        <is>
          <t xml:space="preserve">B10</t>
        </is>
      </c>
      <c r="D77" t="inlineStr" s="0">
        <is>
          <t xml:space="preserve">smart.loxone.zentrale.h</t>
        </is>
      </c>
      <c r="E77" t="inlineStr" s="0">
        <is>
          <t xml:space="preserve">num</t>
        </is>
      </c>
    </row>
    <row r="78">
      <c r="A78" t="inlineStr" s="0">
        <is>
          <t xml:space="preserve">F</t>
        </is>
      </c>
      <c r="B78" t="inlineStr" s="0">
        <is>
          <t xml:space="preserve">Smart Home</t>
        </is>
      </c>
      <c r="C78" t="inlineStr" s="0">
        <is>
          <t xml:space="preserve">B11</t>
        </is>
      </c>
      <c r="D78" t="inlineStr" s="0">
        <is>
          <t xml:space="preserve">smart.loxone.licht.preis</t>
        </is>
      </c>
      <c r="E78" t="inlineStr" s="0">
        <is>
          <t xml:space="preserve">num</t>
        </is>
      </c>
    </row>
    <row r="79">
      <c r="A79" t="inlineStr" s="0">
        <is>
          <t xml:space="preserve">F</t>
        </is>
      </c>
      <c r="B79" t="inlineStr" s="0">
        <is>
          <t xml:space="preserve">Smart Home</t>
        </is>
      </c>
      <c r="C79" t="inlineStr" s="0">
        <is>
          <t xml:space="preserve">B12</t>
        </is>
      </c>
      <c r="D79" t="inlineStr" s="0">
        <is>
          <t xml:space="preserve">smart.loxone.licht.h</t>
        </is>
      </c>
      <c r="E79" t="inlineStr" s="0">
        <is>
          <t xml:space="preserve">num</t>
        </is>
      </c>
    </row>
    <row r="80">
      <c r="A80" t="inlineStr" s="0">
        <is>
          <t xml:space="preserve">F</t>
        </is>
      </c>
      <c r="B80" t="inlineStr" s="0">
        <is>
          <t xml:space="preserve">Smart Home</t>
        </is>
      </c>
      <c r="C80" t="inlineStr" s="0">
        <is>
          <t xml:space="preserve">B13</t>
        </is>
      </c>
      <c r="D80" t="inlineStr" s="0">
        <is>
          <t xml:space="preserve">smart.loxone.heizung.preis</t>
        </is>
      </c>
      <c r="E80" t="inlineStr" s="0">
        <is>
          <t xml:space="preserve">num</t>
        </is>
      </c>
    </row>
    <row r="81">
      <c r="A81" t="inlineStr" s="0">
        <is>
          <t xml:space="preserve">F</t>
        </is>
      </c>
      <c r="B81" t="inlineStr" s="0">
        <is>
          <t xml:space="preserve">Smart Home</t>
        </is>
      </c>
      <c r="C81" t="inlineStr" s="0">
        <is>
          <t xml:space="preserve">B14</t>
        </is>
      </c>
      <c r="D81" t="inlineStr" s="0">
        <is>
          <t xml:space="preserve">smart.loxone.heizung.h</t>
        </is>
      </c>
      <c r="E81" t="inlineStr" s="0">
        <is>
          <t xml:space="preserve">num</t>
        </is>
      </c>
    </row>
    <row r="82">
      <c r="A82" t="inlineStr" s="0">
        <is>
          <t xml:space="preserve">F</t>
        </is>
      </c>
      <c r="B82" t="inlineStr" s="0">
        <is>
          <t xml:space="preserve">Smart Home</t>
        </is>
      </c>
      <c r="C82" t="inlineStr" s="0">
        <is>
          <t xml:space="preserve">B15</t>
        </is>
      </c>
      <c r="D82" t="inlineStr" s="0">
        <is>
          <t xml:space="preserve">smart.loxone.rollladen.preis</t>
        </is>
      </c>
      <c r="E82" t="inlineStr" s="0">
        <is>
          <t xml:space="preserve">num</t>
        </is>
      </c>
    </row>
    <row r="83">
      <c r="A83" t="inlineStr" s="0">
        <is>
          <t xml:space="preserve">F</t>
        </is>
      </c>
      <c r="B83" t="inlineStr" s="0">
        <is>
          <t xml:space="preserve">Smart Home</t>
        </is>
      </c>
      <c r="C83" t="inlineStr" s="0">
        <is>
          <t xml:space="preserve">B16</t>
        </is>
      </c>
      <c r="D83" t="inlineStr" s="0">
        <is>
          <t xml:space="preserve">smart.loxone.rollladen.h</t>
        </is>
      </c>
      <c r="E83" t="inlineStr" s="0">
        <is>
          <t xml:space="preserve">num</t>
        </is>
      </c>
    </row>
    <row r="84">
      <c r="A84" t="inlineStr" s="0">
        <is>
          <t xml:space="preserve">F</t>
        </is>
      </c>
      <c r="B84" t="inlineStr" s="0">
        <is>
          <t xml:space="preserve">Smart Home</t>
        </is>
      </c>
      <c r="C84" t="inlineStr" s="0">
        <is>
          <t xml:space="preserve">B17</t>
        </is>
      </c>
      <c r="D84" t="inlineStr" s="0">
        <is>
          <t xml:space="preserve">smart.loxone.sicherheit.preis</t>
        </is>
      </c>
      <c r="E84" t="inlineStr" s="0">
        <is>
          <t xml:space="preserve">num</t>
        </is>
      </c>
    </row>
    <row r="85">
      <c r="A85" t="inlineStr" s="0">
        <is>
          <t xml:space="preserve">F</t>
        </is>
      </c>
      <c r="B85" t="inlineStr" s="0">
        <is>
          <t xml:space="preserve">Smart Home</t>
        </is>
      </c>
      <c r="C85" t="inlineStr" s="0">
        <is>
          <t xml:space="preserve">B18</t>
        </is>
      </c>
      <c r="D85" t="inlineStr" s="0">
        <is>
          <t xml:space="preserve">smart.loxone.sicherheit.h</t>
        </is>
      </c>
      <c r="E85" t="inlineStr" s="0">
        <is>
          <t xml:space="preserve">num</t>
        </is>
      </c>
    </row>
    <row r="86">
      <c r="A86" t="inlineStr" s="0">
        <is>
          <t xml:space="preserve">F</t>
        </is>
      </c>
      <c r="B86" t="inlineStr" s="0">
        <is>
          <t xml:space="preserve">Smart Home</t>
        </is>
      </c>
      <c r="C86" t="inlineStr" s="0">
        <is>
          <t xml:space="preserve">B22</t>
        </is>
      </c>
      <c r="D86" t="inlineStr" s="0">
        <is>
          <t xml:space="preserve">smart.funk.name</t>
        </is>
      </c>
      <c r="E86" t="inlineStr" s="0">
        <is>
          <t xml:space="preserve">txt</t>
        </is>
      </c>
    </row>
    <row r="87">
      <c r="A87" t="inlineStr" s="0">
        <is>
          <t xml:space="preserve">F</t>
        </is>
      </c>
      <c r="B87" t="inlineStr" s="0">
        <is>
          <t xml:space="preserve">Smart Home</t>
        </is>
      </c>
      <c r="C87" t="inlineStr" s="0">
        <is>
          <t xml:space="preserve">B23</t>
        </is>
      </c>
      <c r="D87" t="inlineStr" s="0">
        <is>
          <t xml:space="preserve">smart.funk.zentrale.preis</t>
        </is>
      </c>
      <c r="E87" t="inlineStr" s="0">
        <is>
          <t xml:space="preserve">num</t>
        </is>
      </c>
    </row>
    <row r="88">
      <c r="A88" t="inlineStr" s="0">
        <is>
          <t xml:space="preserve">F</t>
        </is>
      </c>
      <c r="B88" t="inlineStr" s="0">
        <is>
          <t xml:space="preserve">Smart Home</t>
        </is>
      </c>
      <c r="C88" t="inlineStr" s="0">
        <is>
          <t xml:space="preserve">B24</t>
        </is>
      </c>
      <c r="D88" t="inlineStr" s="0">
        <is>
          <t xml:space="preserve">smart.funk.zentrale.h</t>
        </is>
      </c>
      <c r="E88" t="inlineStr" s="0">
        <is>
          <t xml:space="preserve">num</t>
        </is>
      </c>
    </row>
    <row r="89">
      <c r="A89" t="inlineStr" s="0">
        <is>
          <t xml:space="preserve">F</t>
        </is>
      </c>
      <c r="B89" t="inlineStr" s="0">
        <is>
          <t xml:space="preserve">Smart Home</t>
        </is>
      </c>
      <c r="C89" t="inlineStr" s="0">
        <is>
          <t xml:space="preserve">B25</t>
        </is>
      </c>
      <c r="D89" t="inlineStr" s="0">
        <is>
          <t xml:space="preserve">smart.funk.licht.preis</t>
        </is>
      </c>
      <c r="E89" t="inlineStr" s="0">
        <is>
          <t xml:space="preserve">num</t>
        </is>
      </c>
    </row>
    <row r="90">
      <c r="A90" t="inlineStr" s="0">
        <is>
          <t xml:space="preserve">F</t>
        </is>
      </c>
      <c r="B90" t="inlineStr" s="0">
        <is>
          <t xml:space="preserve">Smart Home</t>
        </is>
      </c>
      <c r="C90" t="inlineStr" s="0">
        <is>
          <t xml:space="preserve">B26</t>
        </is>
      </c>
      <c r="D90" t="inlineStr" s="0">
        <is>
          <t xml:space="preserve">smart.funk.licht.h</t>
        </is>
      </c>
      <c r="E90" t="inlineStr" s="0">
        <is>
          <t xml:space="preserve">num</t>
        </is>
      </c>
    </row>
    <row r="91">
      <c r="A91" t="inlineStr" s="0">
        <is>
          <t xml:space="preserve">F</t>
        </is>
      </c>
      <c r="B91" t="inlineStr" s="0">
        <is>
          <t xml:space="preserve">Smart Home</t>
        </is>
      </c>
      <c r="C91" t="inlineStr" s="0">
        <is>
          <t xml:space="preserve">B27</t>
        </is>
      </c>
      <c r="D91" t="inlineStr" s="0">
        <is>
          <t xml:space="preserve">smart.funk.heizung.preis</t>
        </is>
      </c>
      <c r="E91" t="inlineStr" s="0">
        <is>
          <t xml:space="preserve">num</t>
        </is>
      </c>
    </row>
    <row r="92">
      <c r="A92" t="inlineStr" s="0">
        <is>
          <t xml:space="preserve">F</t>
        </is>
      </c>
      <c r="B92" t="inlineStr" s="0">
        <is>
          <t xml:space="preserve">Smart Home</t>
        </is>
      </c>
      <c r="C92" t="inlineStr" s="0">
        <is>
          <t xml:space="preserve">B28</t>
        </is>
      </c>
      <c r="D92" t="inlineStr" s="0">
        <is>
          <t xml:space="preserve">smart.funk.heizung.h</t>
        </is>
      </c>
      <c r="E92" t="inlineStr" s="0">
        <is>
          <t xml:space="preserve">num</t>
        </is>
      </c>
    </row>
    <row r="93">
      <c r="A93" t="inlineStr" s="0">
        <is>
          <t xml:space="preserve">F</t>
        </is>
      </c>
      <c r="B93" t="inlineStr" s="0">
        <is>
          <t xml:space="preserve">Smart Home</t>
        </is>
      </c>
      <c r="C93" t="inlineStr" s="0">
        <is>
          <t xml:space="preserve">B29</t>
        </is>
      </c>
      <c r="D93" t="inlineStr" s="0">
        <is>
          <t xml:space="preserve">smart.funk.rollladen.preis</t>
        </is>
      </c>
      <c r="E93" t="inlineStr" s="0">
        <is>
          <t xml:space="preserve">num</t>
        </is>
      </c>
    </row>
    <row r="94">
      <c r="A94" t="inlineStr" s="0">
        <is>
          <t xml:space="preserve">F</t>
        </is>
      </c>
      <c r="B94" t="inlineStr" s="0">
        <is>
          <t xml:space="preserve">Smart Home</t>
        </is>
      </c>
      <c r="C94" t="inlineStr" s="0">
        <is>
          <t xml:space="preserve">B30</t>
        </is>
      </c>
      <c r="D94" t="inlineStr" s="0">
        <is>
          <t xml:space="preserve">smart.funk.rollladen.h</t>
        </is>
      </c>
      <c r="E94" t="inlineStr" s="0">
        <is>
          <t xml:space="preserve">num</t>
        </is>
      </c>
    </row>
    <row r="95">
      <c r="A95" t="inlineStr" s="0">
        <is>
          <t xml:space="preserve">F</t>
        </is>
      </c>
      <c r="B95" t="inlineStr" s="0">
        <is>
          <t xml:space="preserve">Smart Home</t>
        </is>
      </c>
      <c r="C95" t="inlineStr" s="0">
        <is>
          <t xml:space="preserve">B31</t>
        </is>
      </c>
      <c r="D95" t="inlineStr" s="0">
        <is>
          <t xml:space="preserve">smart.funk.sicherheit.preis</t>
        </is>
      </c>
      <c r="E95" t="inlineStr" s="0">
        <is>
          <t xml:space="preserve">num</t>
        </is>
      </c>
    </row>
    <row r="96">
      <c r="A96" t="inlineStr" s="0">
        <is>
          <t xml:space="preserve">F</t>
        </is>
      </c>
      <c r="B96" t="inlineStr" s="0">
        <is>
          <t xml:space="preserve">Smart Home</t>
        </is>
      </c>
      <c r="C96" t="inlineStr" s="0">
        <is>
          <t xml:space="preserve">B32</t>
        </is>
      </c>
      <c r="D96" t="inlineStr" s="0">
        <is>
          <t xml:space="preserve">smart.funk.sicherheit.h</t>
        </is>
      </c>
      <c r="E96" t="inlineStr" s="0">
        <is>
          <t xml:space="preserve">num</t>
        </is>
      </c>
    </row>
    <row r="97">
      <c r="A97" t="inlineStr" s="0">
        <is>
          <t xml:space="preserve">F</t>
        </is>
      </c>
      <c r="B97" t="inlineStr" s="0">
        <is>
          <t xml:space="preserve">Smart Home</t>
        </is>
      </c>
      <c r="C97" t="inlineStr" s="0">
        <is>
          <t xml:space="preserve">B36</t>
        </is>
      </c>
      <c r="D97" t="inlineStr" s="0">
        <is>
          <t xml:space="preserve">smart.knx.name</t>
        </is>
      </c>
      <c r="E97" t="inlineStr" s="0">
        <is>
          <t xml:space="preserve">txt</t>
        </is>
      </c>
    </row>
    <row r="98">
      <c r="A98" t="inlineStr" s="0">
        <is>
          <t xml:space="preserve">F</t>
        </is>
      </c>
      <c r="B98" t="inlineStr" s="0">
        <is>
          <t xml:space="preserve">Smart Home</t>
        </is>
      </c>
      <c r="C98" t="inlineStr" s="0">
        <is>
          <t xml:space="preserve">B37</t>
        </is>
      </c>
      <c r="D98" t="inlineStr" s="0">
        <is>
          <t xml:space="preserve">smart.knx.zentrale.preis</t>
        </is>
      </c>
      <c r="E98" t="inlineStr" s="0">
        <is>
          <t xml:space="preserve">num</t>
        </is>
      </c>
    </row>
    <row r="99">
      <c r="A99" t="inlineStr" s="0">
        <is>
          <t xml:space="preserve">F</t>
        </is>
      </c>
      <c r="B99" t="inlineStr" s="0">
        <is>
          <t xml:space="preserve">Smart Home</t>
        </is>
      </c>
      <c r="C99" t="inlineStr" s="0">
        <is>
          <t xml:space="preserve">B38</t>
        </is>
      </c>
      <c r="D99" t="inlineStr" s="0">
        <is>
          <t xml:space="preserve">smart.knx.zentrale.h</t>
        </is>
      </c>
      <c r="E99" t="inlineStr" s="0">
        <is>
          <t xml:space="preserve">num</t>
        </is>
      </c>
    </row>
    <row r="100">
      <c r="A100" t="inlineStr" s="0">
        <is>
          <t xml:space="preserve">F</t>
        </is>
      </c>
      <c r="B100" t="inlineStr" s="0">
        <is>
          <t xml:space="preserve">Smart Home</t>
        </is>
      </c>
      <c r="C100" t="inlineStr" s="0">
        <is>
          <t xml:space="preserve">B39</t>
        </is>
      </c>
      <c r="D100" t="inlineStr" s="0">
        <is>
          <t xml:space="preserve">smart.knx.licht.preis</t>
        </is>
      </c>
      <c r="E100" t="inlineStr" s="0">
        <is>
          <t xml:space="preserve">num</t>
        </is>
      </c>
    </row>
    <row r="101">
      <c r="A101" t="inlineStr" s="0">
        <is>
          <t xml:space="preserve">F</t>
        </is>
      </c>
      <c r="B101" t="inlineStr" s="0">
        <is>
          <t xml:space="preserve">Smart Home</t>
        </is>
      </c>
      <c r="C101" t="inlineStr" s="0">
        <is>
          <t xml:space="preserve">B40</t>
        </is>
      </c>
      <c r="D101" t="inlineStr" s="0">
        <is>
          <t xml:space="preserve">smart.knx.licht.h</t>
        </is>
      </c>
      <c r="E101" t="inlineStr" s="0">
        <is>
          <t xml:space="preserve">num</t>
        </is>
      </c>
    </row>
    <row r="102">
      <c r="A102" t="inlineStr" s="0">
        <is>
          <t xml:space="preserve">F</t>
        </is>
      </c>
      <c r="B102" t="inlineStr" s="0">
        <is>
          <t xml:space="preserve">Smart Home</t>
        </is>
      </c>
      <c r="C102" t="inlineStr" s="0">
        <is>
          <t xml:space="preserve">B41</t>
        </is>
      </c>
      <c r="D102" t="inlineStr" s="0">
        <is>
          <t xml:space="preserve">smart.knx.heizung.preis</t>
        </is>
      </c>
      <c r="E102" t="inlineStr" s="0">
        <is>
          <t xml:space="preserve">num</t>
        </is>
      </c>
    </row>
    <row r="103">
      <c r="A103" t="inlineStr" s="0">
        <is>
          <t xml:space="preserve">F</t>
        </is>
      </c>
      <c r="B103" t="inlineStr" s="0">
        <is>
          <t xml:space="preserve">Smart Home</t>
        </is>
      </c>
      <c r="C103" t="inlineStr" s="0">
        <is>
          <t xml:space="preserve">B42</t>
        </is>
      </c>
      <c r="D103" t="inlineStr" s="0">
        <is>
          <t xml:space="preserve">smart.knx.heizung.h</t>
        </is>
      </c>
      <c r="E103" t="inlineStr" s="0">
        <is>
          <t xml:space="preserve">num</t>
        </is>
      </c>
    </row>
    <row r="104">
      <c r="A104" t="inlineStr" s="0">
        <is>
          <t xml:space="preserve">F</t>
        </is>
      </c>
      <c r="B104" t="inlineStr" s="0">
        <is>
          <t xml:space="preserve">Smart Home</t>
        </is>
      </c>
      <c r="C104" t="inlineStr" s="0">
        <is>
          <t xml:space="preserve">B43</t>
        </is>
      </c>
      <c r="D104" t="inlineStr" s="0">
        <is>
          <t xml:space="preserve">smart.knx.rollladen.preis</t>
        </is>
      </c>
      <c r="E104" t="inlineStr" s="0">
        <is>
          <t xml:space="preserve">num</t>
        </is>
      </c>
    </row>
    <row r="105">
      <c r="A105" t="inlineStr" s="0">
        <is>
          <t xml:space="preserve">F</t>
        </is>
      </c>
      <c r="B105" t="inlineStr" s="0">
        <is>
          <t xml:space="preserve">Smart Home</t>
        </is>
      </c>
      <c r="C105" t="inlineStr" s="0">
        <is>
          <t xml:space="preserve">B44</t>
        </is>
      </c>
      <c r="D105" t="inlineStr" s="0">
        <is>
          <t xml:space="preserve">smart.knx.rollladen.h</t>
        </is>
      </c>
      <c r="E105" t="inlineStr" s="0">
        <is>
          <t xml:space="preserve">num</t>
        </is>
      </c>
    </row>
    <row r="106">
      <c r="A106" t="inlineStr" s="0">
        <is>
          <t xml:space="preserve">F</t>
        </is>
      </c>
      <c r="B106" t="inlineStr" s="0">
        <is>
          <t xml:space="preserve">Smart Home</t>
        </is>
      </c>
      <c r="C106" t="inlineStr" s="0">
        <is>
          <t xml:space="preserve">B45</t>
        </is>
      </c>
      <c r="D106" t="inlineStr" s="0">
        <is>
          <t xml:space="preserve">smart.knx.sicherheit.preis</t>
        </is>
      </c>
      <c r="E106" t="inlineStr" s="0">
        <is>
          <t xml:space="preserve">num</t>
        </is>
      </c>
    </row>
    <row r="107">
      <c r="A107" t="inlineStr" s="0">
        <is>
          <t xml:space="preserve">F</t>
        </is>
      </c>
      <c r="B107" t="inlineStr" s="0">
        <is>
          <t xml:space="preserve">Smart Home</t>
        </is>
      </c>
      <c r="C107" t="inlineStr" s="0">
        <is>
          <t xml:space="preserve">B46</t>
        </is>
      </c>
      <c r="D107" t="inlineStr" s="0">
        <is>
          <t xml:space="preserve">smart.knx.sicherheit.h</t>
        </is>
      </c>
      <c r="E107" t="inlineStr" s="0">
        <is>
          <t xml:space="preserve">num</t>
        </is>
      </c>
    </row>
    <row r="108">
      <c r="A108" t="inlineStr" s="0">
        <is>
          <t xml:space="preserve">V</t>
        </is>
      </c>
      <c r="B108" t="inlineStr" s="0">
        <is>
          <t xml:space="preserve">Hausgeräte</t>
        </is>
      </c>
      <c r="C108" t="inlineStr" s="0">
        <is>
          <t xml:space="preserve">B4</t>
        </is>
      </c>
      <c r="D108" t="inlineStr" s="0">
        <is>
          <t xml:space="preserve">shop</t>
        </is>
      </c>
    </row>
    <row r="109">
      <c r="A109" t="inlineStr" s="0">
        <is>
          <t xml:space="preserve">T</t>
        </is>
      </c>
      <c r="B109" t="inlineStr" s="0">
        <is>
          <t xml:space="preserve">Hausgeräte</t>
        </is>
      </c>
      <c r="C109" t="inlineStr" s="0">
        <is>
          <t xml:space="preserve">9:16</t>
        </is>
      </c>
      <c r="D109" t="inlineStr" s="0">
        <is>
          <t xml:space="preserve">shop.partner</t>
        </is>
      </c>
      <c r="E109" t="inlineStr" s="0">
        <is>
          <t xml:space="preserve">aktiv|bool,name|text</t>
        </is>
      </c>
    </row>
    <row r="110">
      <c r="A110" t="inlineStr" s="0">
        <is>
          <t xml:space="preserve">T</t>
        </is>
      </c>
      <c r="B110" t="inlineStr" s="0">
        <is>
          <t xml:space="preserve">Hausgeräte</t>
        </is>
      </c>
      <c r="C110" t="inlineStr" s="0">
        <is>
          <t xml:space="preserve">22:34</t>
        </is>
      </c>
      <c r="D110" t="inlineStr" s="0">
        <is>
          <t xml:space="preserve">shop.produkte</t>
        </is>
      </c>
      <c r="E110" t="inlineStr" s="0">
        <is>
          <t xml:space="preserve">aktiv|bool,partner|psel,kategorie|text,modell|text,info|text,preis|num,montage|num,ek|sel|=–;A+++=A+++;A++=A++;A+=A+;A=A;B=B;C=C;D=D;E=E;F=F;G=G,skala|sel|neu=A–G (nuova);alt=A+++–D,label|text,datenblatt|text</t>
        </is>
      </c>
    </row>
    <row r="111">
      <c r="A111" t="inlineStr" s="0">
        <is>
          <t xml:space="preserve">F</t>
        </is>
      </c>
      <c r="B111" t="inlineStr" s="0">
        <is>
          <t xml:space="preserve">Hausgeräte</t>
        </is>
      </c>
      <c r="C111" t="inlineStr" s="0">
        <is>
          <t xml:space="preserve">B39</t>
        </is>
      </c>
      <c r="D111" t="inlineStr" s="0">
        <is>
          <t xml:space="preserve">shop.lieferung</t>
        </is>
      </c>
      <c r="E111" t="inlineStr" s="0">
        <is>
          <t xml:space="preserve">num</t>
        </is>
      </c>
    </row>
    <row r="112">
      <c r="A112" t="inlineStr" s="0">
        <is>
          <t xml:space="preserve">F</t>
        </is>
      </c>
      <c r="B112" t="inlineStr" s="0">
        <is>
          <t xml:space="preserve">Hausgeräte</t>
        </is>
      </c>
      <c r="C112" t="inlineStr" s="0">
        <is>
          <t xml:space="preserve">B40</t>
        </is>
      </c>
      <c r="D112" t="inlineStr" s="0">
        <is>
          <t xml:space="preserve">shop.altgeraet</t>
        </is>
      </c>
      <c r="E112" t="inlineStr" s="0">
        <is>
          <t xml:space="preserve">num</t>
        </is>
      </c>
    </row>
    <row r="113">
      <c r="A113" t="inlineStr" s="0">
        <is>
          <t xml:space="preserve">F</t>
        </is>
      </c>
      <c r="B113" t="inlineStr" s="0">
        <is>
          <t xml:space="preserve">Hausgeräte</t>
        </is>
      </c>
      <c r="C113" t="inlineStr" s="0">
        <is>
          <t xml:space="preserve">B41</t>
        </is>
      </c>
      <c r="D113" t="inlineStr" s="0">
        <is>
          <t xml:space="preserve">shop.lieferzeit</t>
        </is>
      </c>
      <c r="E113" t="inlineStr" s="0">
        <is>
          <t xml:space="preserve">txt</t>
        </is>
      </c>
    </row>
    <row r="114">
      <c r="A114" t="inlineStr" s="0">
        <is>
          <t xml:space="preserve">F</t>
        </is>
      </c>
      <c r="B114" t="inlineStr" s="0">
        <is>
          <t xml:space="preserve">Hausgeräte</t>
        </is>
      </c>
      <c r="C114" t="inlineStr" s="0">
        <is>
          <t xml:space="preserve">B42</t>
        </is>
      </c>
      <c r="D114" t="inlineStr" s="0">
        <is>
          <t xml:space="preserve">shop.liefergebiet</t>
        </is>
      </c>
      <c r="E114" t="inlineStr" s="0">
        <is>
          <t xml:space="preserve">txt</t>
        </is>
      </c>
    </row>
    <row r="115">
      <c r="A115" t="inlineStr" s="0">
        <is>
          <t xml:space="preserve">F</t>
        </is>
      </c>
      <c r="B115" t="inlineStr" s="0">
        <is>
          <t xml:space="preserve">Hausgeräte</t>
        </is>
      </c>
      <c r="C115" t="inlineStr" s="0">
        <is>
          <t xml:space="preserve">B43</t>
        </is>
      </c>
      <c r="D115" t="inlineStr" s="0">
        <is>
          <t xml:space="preserve">shop.zahlung</t>
        </is>
      </c>
      <c r="E115" t="inlineStr" s="0">
        <is>
          <t xml:space="preserve">txt</t>
        </is>
      </c>
    </row>
    <row r="116">
      <c r="A116" t="inlineStr" s="0">
        <is>
          <t xml:space="preserve">V</t>
        </is>
      </c>
      <c r="B116" t="inlineStr" s="0">
        <is>
          <t xml:space="preserve">Elektroinstallation</t>
        </is>
      </c>
      <c r="C116" t="inlineStr" s="0">
        <is>
          <t xml:space="preserve">B4</t>
        </is>
      </c>
      <c r="D116" t="inlineStr" s="0">
        <is>
          <t xml:space="preserve">elektro</t>
        </is>
      </c>
    </row>
    <row r="117">
      <c r="A117" t="inlineStr" s="0">
        <is>
          <t xml:space="preserve">F</t>
        </is>
      </c>
      <c r="B117" t="inlineStr" s="0">
        <is>
          <t xml:space="preserve">Elektroinstallation</t>
        </is>
      </c>
      <c r="C117" t="inlineStr" s="0">
        <is>
          <t xml:space="preserve">B8</t>
        </is>
      </c>
      <c r="D117" t="inlineStr" s="0">
        <is>
          <t xml:space="preserve">elektro.neu.material_m2</t>
        </is>
      </c>
      <c r="E117" t="inlineStr" s="0">
        <is>
          <t xml:space="preserve">num</t>
        </is>
      </c>
    </row>
    <row r="118">
      <c r="A118" t="inlineStr" s="0">
        <is>
          <t xml:space="preserve">F</t>
        </is>
      </c>
      <c r="B118" t="inlineStr" s="0">
        <is>
          <t xml:space="preserve">Elektroinstallation</t>
        </is>
      </c>
      <c r="C118" t="inlineStr" s="0">
        <is>
          <t xml:space="preserve">B9</t>
        </is>
      </c>
      <c r="D118" t="inlineStr" s="0">
        <is>
          <t xml:space="preserve">elektro.neu.h_je_m2</t>
        </is>
      </c>
      <c r="E118" t="inlineStr" s="0">
        <is>
          <t xml:space="preserve">num</t>
        </is>
      </c>
    </row>
    <row r="119">
      <c r="A119" t="inlineStr" s="0">
        <is>
          <t xml:space="preserve">F</t>
        </is>
      </c>
      <c r="B119" t="inlineStr" s="0">
        <is>
          <t xml:space="preserve">Elektroinstallation</t>
        </is>
      </c>
      <c r="C119" t="inlineStr" s="0">
        <is>
          <t xml:space="preserve">B10</t>
        </is>
      </c>
      <c r="D119" t="inlineStr" s="0">
        <is>
          <t xml:space="preserve">elektro.san.material_m2</t>
        </is>
      </c>
      <c r="E119" t="inlineStr" s="0">
        <is>
          <t xml:space="preserve">num</t>
        </is>
      </c>
    </row>
    <row r="120">
      <c r="A120" t="inlineStr" s="0">
        <is>
          <t xml:space="preserve">F</t>
        </is>
      </c>
      <c r="B120" t="inlineStr" s="0">
        <is>
          <t xml:space="preserve">Elektroinstallation</t>
        </is>
      </c>
      <c r="C120" t="inlineStr" s="0">
        <is>
          <t xml:space="preserve">B11</t>
        </is>
      </c>
      <c r="D120" t="inlineStr" s="0">
        <is>
          <t xml:space="preserve">elektro.san.h_je_m2</t>
        </is>
      </c>
      <c r="E120" t="inlineStr" s="0">
        <is>
          <t xml:space="preserve">num</t>
        </is>
      </c>
    </row>
    <row r="121">
      <c r="A121" t="inlineStr" s="0">
        <is>
          <t xml:space="preserve">F</t>
        </is>
      </c>
      <c r="B121" t="inlineStr" s="0">
        <is>
          <t xml:space="preserve">Elektroinstallation</t>
        </is>
      </c>
      <c r="C121" t="inlineStr" s="0">
        <is>
          <t xml:space="preserve">B12</t>
        </is>
      </c>
      <c r="D121" t="inlineStr" s="0">
        <is>
          <t xml:space="preserve">elektro.teil.material_m2</t>
        </is>
      </c>
      <c r="E121" t="inlineStr" s="0">
        <is>
          <t xml:space="preserve">num</t>
        </is>
      </c>
    </row>
    <row r="122">
      <c r="A122" t="inlineStr" s="0">
        <is>
          <t xml:space="preserve">F</t>
        </is>
      </c>
      <c r="B122" t="inlineStr" s="0">
        <is>
          <t xml:space="preserve">Elektroinstallation</t>
        </is>
      </c>
      <c r="C122" t="inlineStr" s="0">
        <is>
          <t xml:space="preserve">B13</t>
        </is>
      </c>
      <c r="D122" t="inlineStr" s="0">
        <is>
          <t xml:space="preserve">elektro.teil.h_je_m2</t>
        </is>
      </c>
      <c r="E122" t="inlineStr" s="0">
        <is>
          <t xml:space="preserve">num</t>
        </is>
      </c>
    </row>
    <row r="123">
      <c r="A123" t="inlineStr" s="0">
        <is>
          <t xml:space="preserve">F</t>
        </is>
      </c>
      <c r="B123" t="inlineStr" s="0">
        <is>
          <t xml:space="preserve">Elektroinstallation</t>
        </is>
      </c>
      <c r="C123" t="inlineStr" s="0">
        <is>
          <t xml:space="preserve">B17</t>
        </is>
      </c>
      <c r="D123" t="inlineStr" s="0">
        <is>
          <t xml:space="preserve">elektro.zaehlerschrank.preis</t>
        </is>
      </c>
      <c r="E123" t="inlineStr" s="0">
        <is>
          <t xml:space="preserve">num</t>
        </is>
      </c>
    </row>
    <row r="124">
      <c r="A124" t="inlineStr" s="0">
        <is>
          <t xml:space="preserve">F</t>
        </is>
      </c>
      <c r="B124" t="inlineStr" s="0">
        <is>
          <t xml:space="preserve">Elektroinstallation</t>
        </is>
      </c>
      <c r="C124" t="inlineStr" s="0">
        <is>
          <t xml:space="preserve">B18</t>
        </is>
      </c>
      <c r="D124" t="inlineStr" s="0">
        <is>
          <t xml:space="preserve">elektro.zaehlerschrank.h</t>
        </is>
      </c>
      <c r="E124" t="inlineStr" s="0">
        <is>
          <t xml:space="preserve">num</t>
        </is>
      </c>
    </row>
    <row r="125">
      <c r="A125" t="inlineStr" s="0">
        <is>
          <t xml:space="preserve">F</t>
        </is>
      </c>
      <c r="B125" t="inlineStr" s="0">
        <is>
          <t xml:space="preserve">Elektroinstallation</t>
        </is>
      </c>
      <c r="C125" t="inlineStr" s="0">
        <is>
          <t xml:space="preserve">B19</t>
        </is>
      </c>
      <c r="D125" t="inlineStr" s="0">
        <is>
          <t xml:space="preserve">elektro.lan.preis</t>
        </is>
      </c>
      <c r="E125" t="inlineStr" s="0">
        <is>
          <t xml:space="preserve">num</t>
        </is>
      </c>
    </row>
    <row r="126">
      <c r="A126" t="inlineStr" s="0">
        <is>
          <t xml:space="preserve">F</t>
        </is>
      </c>
      <c r="B126" t="inlineStr" s="0">
        <is>
          <t xml:space="preserve">Elektroinstallation</t>
        </is>
      </c>
      <c r="C126" t="inlineStr" s="0">
        <is>
          <t xml:space="preserve">B20</t>
        </is>
      </c>
      <c r="D126" t="inlineStr" s="0">
        <is>
          <t xml:space="preserve">elektro.lan.h</t>
        </is>
      </c>
      <c r="E126" t="inlineStr" s="0">
        <is>
          <t xml:space="preserve">num</t>
        </is>
      </c>
    </row>
    <row r="127">
      <c r="A127" t="inlineStr" s="0">
        <is>
          <t xml:space="preserve">F</t>
        </is>
      </c>
      <c r="B127" t="inlineStr" s="0">
        <is>
          <t xml:space="preserve">Elektroinstallation</t>
        </is>
      </c>
      <c r="C127" t="inlineStr" s="0">
        <is>
          <t xml:space="preserve">B21</t>
        </is>
      </c>
      <c r="D127" t="inlineStr" s="0">
        <is>
          <t xml:space="preserve">elektro.ueberspannung.preis</t>
        </is>
      </c>
      <c r="E127" t="inlineStr" s="0">
        <is>
          <t xml:space="preserve">num</t>
        </is>
      </c>
    </row>
    <row r="128">
      <c r="A128" t="inlineStr" s="0">
        <is>
          <t xml:space="preserve">F</t>
        </is>
      </c>
      <c r="B128" t="inlineStr" s="0">
        <is>
          <t xml:space="preserve">Elektroinstallation</t>
        </is>
      </c>
      <c r="C128" t="inlineStr" s="0">
        <is>
          <t xml:space="preserve">B22</t>
        </is>
      </c>
      <c r="D128" t="inlineStr" s="0">
        <is>
          <t xml:space="preserve">elektro.ueberspannung.h</t>
        </is>
      </c>
      <c r="E128" t="inlineStr" s="0">
        <is>
          <t xml:space="preserve">num</t>
        </is>
      </c>
    </row>
    <row r="129">
      <c r="A129" t="inlineStr" s="0">
        <is>
          <t xml:space="preserve">F</t>
        </is>
      </c>
      <c r="B129" t="inlineStr" s="0">
        <is>
          <t xml:space="preserve">Elektroinstallation</t>
        </is>
      </c>
      <c r="C129" t="inlineStr" s="0">
        <is>
          <t xml:space="preserve">B23</t>
        </is>
      </c>
      <c r="D129" t="inlineStr" s="0">
        <is>
          <t xml:space="preserve">elektro.echeck.preis</t>
        </is>
      </c>
      <c r="E129" t="inlineStr" s="0">
        <is>
          <t xml:space="preserve">num</t>
        </is>
      </c>
    </row>
    <row r="130">
      <c r="A130" t="inlineStr" s="0">
        <is>
          <t xml:space="preserve">F</t>
        </is>
      </c>
      <c r="B130" t="inlineStr" s="0">
        <is>
          <t xml:space="preserve">Elektroinstallation</t>
        </is>
      </c>
      <c r="C130" t="inlineStr" s="0">
        <is>
          <t xml:space="preserve">B24</t>
        </is>
      </c>
      <c r="D130" t="inlineStr" s="0">
        <is>
          <t xml:space="preserve">elektro.echeck.h</t>
        </is>
      </c>
      <c r="E130" t="inlineStr" s="0">
        <is>
          <t xml:space="preserve">num</t>
        </is>
      </c>
    </row>
    <row r="131">
      <c r="A131" t="inlineStr" s="0">
        <is>
          <t xml:space="preserve">T</t>
        </is>
      </c>
      <c r="B131" t="inlineStr" s="0">
        <is>
          <t xml:space="preserve">Elektroinstallation</t>
        </is>
      </c>
      <c r="C131" t="inlineStr" s="0">
        <is>
          <t xml:space="preserve">29:37</t>
        </is>
      </c>
      <c r="D131" t="inlineStr" s="0">
        <is>
          <t xml:space="preserve">wallboxen</t>
        </is>
      </c>
      <c r="E131" t="inlineStr" s="0">
        <is>
          <t xml:space="preserve">aktiv|bool,hersteller|text,modell|text,kw|num,preis|num</t>
        </is>
      </c>
    </row>
    <row r="132">
      <c r="A132" t="inlineStr" s="0">
        <is>
          <t xml:space="preserve">F</t>
        </is>
      </c>
      <c r="B132" t="inlineStr" s="0">
        <is>
          <t xml:space="preserve">Elektroinstallation</t>
        </is>
      </c>
      <c r="C132" t="inlineStr" s="0">
        <is>
          <t xml:space="preserve">B42</t>
        </is>
      </c>
      <c r="D132" t="inlineStr" s="0">
        <is>
          <t xml:space="preserve">elektro.wallbox_h</t>
        </is>
      </c>
      <c r="E132" t="inlineStr" s="0">
        <is>
          <t xml:space="preserve">num</t>
        </is>
      </c>
    </row>
  </sheetData>
  <pageMargins left="0.5" right="0.5" top="0.6" bottom="0.6" header="0.3" footer="0.3"/>
</worksheet>
</file>