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llgemein" sheetId="2" state="visible" r:id="rId4"/>
    <sheet name="Klimaanlage" sheetId="3" state="visible" r:id="rId5"/>
    <sheet name="Wärmepumpe" sheetId="4" state="visible" r:id="rId6"/>
    <sheet name="Photovoltaik" sheetId="5" state="visible" r:id="rId7"/>
    <sheet name="Smart Home" sheetId="6" state="visible" r:id="rId8"/>
    <sheet name="Hausgeräte" sheetId="7" state="visible" r:id="rId9"/>
    <sheet name="Elektroinstallation" sheetId="8" state="visible" r:id="rId10"/>
    <sheet name="Partn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<sst xmlns="http://schemas.openxmlformats.org/spreadsheetml/2006/main" count="806" uniqueCount="320">
  <si>
    <t xml:space="preserve">Preisliste für den Online-Angebotsrechner</t>
  </si>
  <si>
    <t xml:space="preserve">Elektrotechnik Ulshöfer GmbH · Stand: Website-Version v0.7.0 · alle Preise sind Beispielwerte</t>
  </si>
  <si>
    <t xml:space="preserve">Wozu dient diese Tabelle?</t>
  </si>
  <si>
    <t xml:space="preserve">Sie enthält alle Preise, Arbeitszeiten und Geräte, mit denen der Angebotsrechner auf der Website rechnet – in derselben Reihenfolge wie in der Online-Preisverwaltung.</t>
  </si>
  <si>
    <t xml:space="preserve">So gehen Sie vor</t>
  </si>
  <si>
    <t xml:space="preserve">1. Tragen Sie Ihre echten Nettopreise und Stunden in die gelben Zellen mit blauer Schrift ein.</t>
  </si>
  <si>
    <t xml:space="preserve">2. Alle grauen Spalten (Bruttopreis, Arbeitslohn) rechnen sich automatisch – mit Stundensatz und MwSt. aus dem Blatt „Allgemein“.</t>
  </si>
  <si>
    <t xml:space="preserve">3. Senden Sie die Tabelle zurück. Wir übernehmen die Werte 1:1 in die Website. Alternativ können Sie die Preise direkt in der Online-Preisverwaltung ändern.</t>
  </si>
  <si>
    <t xml:space="preserve">Wie rechnet die Website?</t>
  </si>
  <si>
    <t xml:space="preserve">• Gerätepreis + Material (netto) + Arbeitslohn (Stunden × Stundensatz) + einmalig die Anfahrt; darauf kommt die MwSt. (Photovoltaik und Speicher: 0 % MwSt.).</t>
  </si>
  <si>
    <t xml:space="preserve">• Klimaanlage und Wärmepumpe: Die Website wählt automatisch das kleinste passende Gerät, bei gleicher Leistung das günstigste.</t>
  </si>
  <si>
    <t xml:space="preserve">• Photovoltaik: Verwendet wird das erste Modul der Liste; der Wechselrichter muss mindestens 80 % der Modulleistung erreichen.</t>
  </si>
  <si>
    <t xml:space="preserve">• Wärmepumpe: Der voraussichtliche KfW-Zuschuss (Programm 458) wird mit den Werten aus „Allgemein“ berechnet.</t>
  </si>
  <si>
    <t xml:space="preserve">• Der Kunde sieht einen Richtpreis mit Spanne (± Preisspanne). Der verbindliche Festpreis folgt nach der Besichtigung.</t>
  </si>
  <si>
    <t xml:space="preserve">• Spalte „Aktiv“: „Nein“ = das Modell bleibt gespeichert, wird Kunden aber nicht angeboten.</t>
  </si>
  <si>
    <t xml:space="preserve">• Hausgeräte: Hier sind alle Preise BRUTTO (inkl. MwSt.), wie im Laden. Produktbilder werden in der Preisverwaltung hochgeladen.</t>
  </si>
  <si>
    <t xml:space="preserve">Legende</t>
  </si>
  <si>
    <t xml:space="preserve">Eingabe</t>
  </si>
  <si>
    <t xml:space="preserve">gelbe Zelle, blaue Schrift: Ihre Werte</t>
  </si>
  <si>
    <t xml:space="preserve">Berechnet</t>
  </si>
  <si>
    <t xml:space="preserve">graue Zelle: Formel, nicht überschreiben</t>
  </si>
  <si>
    <t xml:space="preserve">Allgemein</t>
  </si>
  <si>
    <t xml:space="preserve">Stundensatz, MwSt., Anfahrt, Gültigkeit und KfW-Förderung. Diese Werte gelten für alle Blätter.</t>
  </si>
  <si>
    <t xml:space="preserve">Einstellung</t>
  </si>
  <si>
    <t xml:space="preserve">Wert</t>
  </si>
  <si>
    <t xml:space="preserve">Einheit</t>
  </si>
  <si>
    <t xml:space="preserve">Anfahrt (einmal pro Angebot)</t>
  </si>
  <si>
    <t xml:space="preserve">€</t>
  </si>
  <si>
    <t xml:space="preserve">Stundensatz Monteur</t>
  </si>
  <si>
    <t xml:space="preserve">€/h</t>
  </si>
  <si>
    <t xml:space="preserve">Preisspanne „von … bis …“ ±</t>
  </si>
  <si>
    <t xml:space="preserve">%</t>
  </si>
  <si>
    <t xml:space="preserve">MwSt.</t>
  </si>
  <si>
    <t xml:space="preserve">Gültigkeit des Angebots</t>
  </si>
  <si>
    <t xml:space="preserve">Tage</t>
  </si>
  <si>
    <t xml:space="preserve">KfW-Förderung Wärmepumpe (Programm 458)</t>
  </si>
  <si>
    <t xml:space="preserve">KfW-Regeln seit 21.07.2026. Der Klimageschwindigkeitsbonus sinkt auf 12 % ab 1.2.2027 und 8 % ab 1.8.2027. Die förderfähigen Kosten sinken jeweils zum 1.2. und 1.8. um 750 €.</t>
  </si>
  <si>
    <t xml:space="preserve">Grundförderung</t>
  </si>
  <si>
    <t xml:space="preserve">Klimageschwindigkeitsbonus</t>
  </si>
  <si>
    <t xml:space="preserve">Höchstfördersatz</t>
  </si>
  <si>
    <t xml:space="preserve">Höchstsatz bei Einkommen bis 30.000 €</t>
  </si>
  <si>
    <t xml:space="preserve">Max. förderfähige Kosten</t>
  </si>
  <si>
    <t xml:space="preserve">Sichtbare Bereiche auf der Website</t>
  </si>
  <si>
    <t xml:space="preserve">Ausgeschaltet: Der Bereich erscheint weder im Rechner noch in der Schnellauswahl oder im Footer. Die Beschreibung unter „Leistungen“ bleibt sichtbar – mit dem Button „Beratung anfragen“.</t>
  </si>
  <si>
    <t xml:space="preserve">Bereich</t>
  </si>
  <si>
    <t xml:space="preserve">Sichtbar</t>
  </si>
  <si>
    <t xml:space="preserve">Wärmepumpe</t>
  </si>
  <si>
    <t xml:space="preserve">Ja</t>
  </si>
  <si>
    <t xml:space="preserve">Photovoltaik</t>
  </si>
  <si>
    <t xml:space="preserve">Klimaanlage</t>
  </si>
  <si>
    <t xml:space="preserve">Smart Home</t>
  </si>
  <si>
    <t xml:space="preserve">Elektroinstallation</t>
  </si>
  <si>
    <t xml:space="preserve">Hausgeräte (Online-Bestellung)</t>
  </si>
  <si>
    <t xml:space="preserve">Chat-Assistent „Fragen?“</t>
  </si>
  <si>
    <t xml:space="preserve">Gelbe Zellen ändern. Bruttopreise und Arbeitslohn werden mit Stundensatz und MwSt. aus „Allgemein“ berechnet.</t>
  </si>
  <si>
    <t xml:space="preserve">Single-Split-Geräte (Set Innen- + Außengerät)</t>
  </si>
  <si>
    <t xml:space="preserve">Die Website wählt das kleinste Gerät, das für den Raum reicht, in der vom Kunden gewählten Klasse; bei gleicher Leistung das günstigste.</t>
  </si>
  <si>
    <t xml:space="preserve">Aktiv</t>
  </si>
  <si>
    <t xml:space="preserve">Hersteller</t>
  </si>
  <si>
    <t xml:space="preserve">Modell</t>
  </si>
  <si>
    <t xml:space="preserve">Leistung (kW)</t>
  </si>
  <si>
    <t xml:space="preserve">Klasse</t>
  </si>
  <si>
    <t xml:space="preserve">Nettopreis (€)</t>
  </si>
  <si>
    <t xml:space="preserve">Bruttopreis (€)</t>
  </si>
  <si>
    <t xml:space="preserve">Toshiba</t>
  </si>
  <si>
    <t xml:space="preserve">Seiya RAS-B10E2KVG-E / RAS-10E2AVG-E</t>
  </si>
  <si>
    <t xml:space="preserve">Standard</t>
  </si>
  <si>
    <t xml:space="preserve">Seiya RAS-B13E2KVG-E / RAS-13E2AVG-E</t>
  </si>
  <si>
    <t xml:space="preserve">Seiya RAS-B16E2KVG-E / RAS-16E2AVG-E</t>
  </si>
  <si>
    <t xml:space="preserve">Seiya RAS-B18E2KVG-E / RAS-18E2AVG-E</t>
  </si>
  <si>
    <t xml:space="preserve">Seiya RAS-B24E2KVG-E / RAS-24E2AVG-E</t>
  </si>
  <si>
    <t xml:space="preserve">Shorai Curve RAS-B10P2KVSG-E</t>
  </si>
  <si>
    <t xml:space="preserve">Premium</t>
  </si>
  <si>
    <t xml:space="preserve">Shorai Curve RAS-B13P2KVSG-E</t>
  </si>
  <si>
    <t xml:space="preserve">Shorai Curve RAS-B16P2KVSG-E</t>
  </si>
  <si>
    <t xml:space="preserve">Shorai Curve RAS-B18P2KVSG-E</t>
  </si>
  <si>
    <t xml:space="preserve">Daisekai 10 RAS-B13S4KVPG-E</t>
  </si>
  <si>
    <t xml:space="preserve">Daikin</t>
  </si>
  <si>
    <t xml:space="preserve">Sensira FTXF25D / RXF25D</t>
  </si>
  <si>
    <t xml:space="preserve">Sensira FTXF35D / RXF35D</t>
  </si>
  <si>
    <t xml:space="preserve">Sensira FTXF50D / RXF50D</t>
  </si>
  <si>
    <t xml:space="preserve">Perfera FTXM25R / RXM25R</t>
  </si>
  <si>
    <t xml:space="preserve">Perfera FTXM35R / RXM35R</t>
  </si>
  <si>
    <t xml:space="preserve">Perfera FTXM50R / RXM50R</t>
  </si>
  <si>
    <t xml:space="preserve">Mitsubishi Electric</t>
  </si>
  <si>
    <t xml:space="preserve">MSZ-AY25VGK / MUZ-AY25VG</t>
  </si>
  <si>
    <t xml:space="preserve">MSZ-AY35VGK / MUZ-AY35VG</t>
  </si>
  <si>
    <t xml:space="preserve">MSZ-AY50VGK / MUZ-AY50VG</t>
  </si>
  <si>
    <t xml:space="preserve">MSZ-AY71VGK / MUZ-AY71VG</t>
  </si>
  <si>
    <t xml:space="preserve">Neue Zeile: einfach unten anfügen und in die Preisverwaltung übernehmen.</t>
  </si>
  <si>
    <t xml:space="preserve">Multi-Split-Innengeräte</t>
  </si>
  <si>
    <t xml:space="preserve">Seiya RAS-B10E2KVG-E (Multi)</t>
  </si>
  <si>
    <t xml:space="preserve">Seiya RAS-B13E2KVG-E (Multi)</t>
  </si>
  <si>
    <t xml:space="preserve">Seiya RAS-B16E2KVG-E (Multi)</t>
  </si>
  <si>
    <t xml:space="preserve">Shorai Curve RAS-B10P2KVSG-E (Multi)</t>
  </si>
  <si>
    <t xml:space="preserve">Shorai Curve RAS-B13P2KVSG-E (Multi)</t>
  </si>
  <si>
    <t xml:space="preserve">Shorai Curve RAS-B16P2KVSG-E (Multi)</t>
  </si>
  <si>
    <t xml:space="preserve">Perfera FTXM20R</t>
  </si>
  <si>
    <t xml:space="preserve">Perfera FTXM25R</t>
  </si>
  <si>
    <t xml:space="preserve">Perfera FTXM35R</t>
  </si>
  <si>
    <t xml:space="preserve">Perfera FTXM50R</t>
  </si>
  <si>
    <t xml:space="preserve">Sensira FTXF25D</t>
  </si>
  <si>
    <t xml:space="preserve">Sensira FTXF35D</t>
  </si>
  <si>
    <t xml:space="preserve">Sensira FTXF50D</t>
  </si>
  <si>
    <t xml:space="preserve">Multi-Split-Außengeräte</t>
  </si>
  <si>
    <t xml:space="preserve">Anschlüsse (Stk.)</t>
  </si>
  <si>
    <t xml:space="preserve">RAS-2M14G3AVG-E</t>
  </si>
  <si>
    <t xml:space="preserve">RAS-3M18G3AVG-E</t>
  </si>
  <si>
    <t xml:space="preserve">RAS-3M26G3AVG-E</t>
  </si>
  <si>
    <t xml:space="preserve">RAS-4M27G3AVG-E</t>
  </si>
  <si>
    <t xml:space="preserve">RAS-5M34G3AVG-E</t>
  </si>
  <si>
    <t xml:space="preserve">2MXM50A</t>
  </si>
  <si>
    <t xml:space="preserve">3MXM52A</t>
  </si>
  <si>
    <t xml:space="preserve">4MXM68A</t>
  </si>
  <si>
    <t xml:space="preserve">5MXM90A</t>
  </si>
  <si>
    <t xml:space="preserve">Arbeitszeit (Stunden)</t>
  </si>
  <si>
    <t xml:space="preserve">Position</t>
  </si>
  <si>
    <t xml:space="preserve">Arbeitslohn netto</t>
  </si>
  <si>
    <t xml:space="preserve">Brutto inkl. MwSt.</t>
  </si>
  <si>
    <t xml:space="preserve">Montage Single-Split komplett</t>
  </si>
  <si>
    <t xml:space="preserve">Std.</t>
  </si>
  <si>
    <t xml:space="preserve">Montage Multi-Split: Grundpauschale</t>
  </si>
  <si>
    <t xml:space="preserve">… je Innengerät</t>
  </si>
  <si>
    <t xml:space="preserve">Mehrlänge Kältemittelleitung, pro Meter</t>
  </si>
  <si>
    <t xml:space="preserve">Kernbohrung, pro Loch</t>
  </si>
  <si>
    <t xml:space="preserve">Kondensatpumpe, pro Stück</t>
  </si>
  <si>
    <t xml:space="preserve">Eigener Stromkreis</t>
  </si>
  <si>
    <t xml:space="preserve">Boden-/Dachkonsole</t>
  </si>
  <si>
    <t xml:space="preserve">Material (netto)</t>
  </si>
  <si>
    <t xml:space="preserve">Grundmaterial Single-Split (3 m Leitung, Wandkonsole, Kabelkanal)</t>
  </si>
  <si>
    <t xml:space="preserve">Grundmaterial je Multi-Innengerät</t>
  </si>
  <si>
    <t xml:space="preserve">Bodenkonsole</t>
  </si>
  <si>
    <t xml:space="preserve">Flachdachgestell</t>
  </si>
  <si>
    <t xml:space="preserve">Kondensatpumpe</t>
  </si>
  <si>
    <t xml:space="preserve">Eigener Stromkreis (Material)</t>
  </si>
  <si>
    <t xml:space="preserve">Sonstiges</t>
  </si>
  <si>
    <t xml:space="preserve">Wartungsvertrag pro Jahr (brutto)</t>
  </si>
  <si>
    <t xml:space="preserve">Leistung pro m² Raumfläche</t>
  </si>
  <si>
    <t xml:space="preserve">kW</t>
  </si>
  <si>
    <t xml:space="preserve">Geräte (Luft-Wasser-Wärmepumpen)</t>
  </si>
  <si>
    <t xml:space="preserve">Die Website wählt das kleinste Gerät, das die Heizlast deckt; der Kunde kann nach Hersteller filtern.</t>
  </si>
  <si>
    <t xml:space="preserve">Dimplex</t>
  </si>
  <si>
    <t xml:space="preserve">System M Comfort Plus 4–6 kW (Split)</t>
  </si>
  <si>
    <t xml:space="preserve">LA 9S-TUR (Monoblock außen)</t>
  </si>
  <si>
    <t xml:space="preserve">LA 0712C (Monoblock außen)</t>
  </si>
  <si>
    <t xml:space="preserve">M Flex 0916HBC (Split, 9–16 kW)</t>
  </si>
  <si>
    <t xml:space="preserve">LA 1118C (Monoblock außen)</t>
  </si>
  <si>
    <t xml:space="preserve">Montage, hydraulischer Abgleich, Inbetriebnahme</t>
  </si>
  <si>
    <t xml:space="preserve">Demontage Ölkessel</t>
  </si>
  <si>
    <t xml:space="preserve">Demontage Gaskessel</t>
  </si>
  <si>
    <t xml:space="preserve">Demontage Nachtspeicheröfen</t>
  </si>
  <si>
    <t xml:space="preserve">Heizkörpertausch, pro Stück</t>
  </si>
  <si>
    <t xml:space="preserve">Zählerschrank</t>
  </si>
  <si>
    <t xml:space="preserve">Hydraulikpaket (Puffer, Warmwasserspeicher, Anschlüsse)</t>
  </si>
  <si>
    <t xml:space="preserve">Entsorgung Heizöl und Tankreinigung</t>
  </si>
  <si>
    <t xml:space="preserve">Entsorgung Gaskessel</t>
  </si>
  <si>
    <t xml:space="preserve">Entsorgung Nachtspeicheröfen</t>
  </si>
  <si>
    <t xml:space="preserve">Niedertemperatur-Heizkörper</t>
  </si>
  <si>
    <t xml:space="preserve">Zählerplatz Wärmepumpe</t>
  </si>
  <si>
    <t xml:space="preserve">Berechnung</t>
  </si>
  <si>
    <t xml:space="preserve">Warmwasser: Zusatzleistung pro Person</t>
  </si>
  <si>
    <t xml:space="preserve">Module</t>
  </si>
  <si>
    <t xml:space="preserve">Die Website verwendet das erste Modul der Liste. Mit ↑ schieben Sie ein Modul nach oben.</t>
  </si>
  <si>
    <t xml:space="preserve">Leistung (Wp)</t>
  </si>
  <si>
    <t xml:space="preserve">Preis pro Modul (€)</t>
  </si>
  <si>
    <t xml:space="preserve">Aiko</t>
  </si>
  <si>
    <t xml:space="preserve">Neostar 2P 450 Wp Glas-Glas</t>
  </si>
  <si>
    <t xml:space="preserve">Meyer Burger</t>
  </si>
  <si>
    <t xml:space="preserve">Glass 400 Wp</t>
  </si>
  <si>
    <t xml:space="preserve">Wechselrichter</t>
  </si>
  <si>
    <t xml:space="preserve">Gewählt wird der kleinste Wechselrichter mit mindestens 80 % der Modulleistung.</t>
  </si>
  <si>
    <t xml:space="preserve">Fronius</t>
  </si>
  <si>
    <t xml:space="preserve">Primo GEN24 4.0 Plus</t>
  </si>
  <si>
    <t xml:space="preserve">Primo GEN24 6.0 Plus</t>
  </si>
  <si>
    <t xml:space="preserve">Symo GEN24 8.0 Plus</t>
  </si>
  <si>
    <t xml:space="preserve">Symo GEN24 10.0 Plus</t>
  </si>
  <si>
    <t xml:space="preserve">Tauro 15-3-P</t>
  </si>
  <si>
    <t xml:space="preserve">Speicher</t>
  </si>
  <si>
    <t xml:space="preserve">Der Kunde wählt einen dieser Speicher oder keinen.</t>
  </si>
  <si>
    <t xml:space="preserve">Kapazität (kWh)</t>
  </si>
  <si>
    <t xml:space="preserve">BYD</t>
  </si>
  <si>
    <t xml:space="preserve">Battery-Box Premium HVS 5.1</t>
  </si>
  <si>
    <t xml:space="preserve">Battery-Box Premium HVS 7.7</t>
  </si>
  <si>
    <t xml:space="preserve">Battery-Box Premium HVS 10.2</t>
  </si>
  <si>
    <t xml:space="preserve">Wallbox</t>
  </si>
  <si>
    <t xml:space="preserve">Die Wallbox-Modelle werden im Reiter „Elektroinstallation“ gepflegt (gemeinsame Liste).</t>
  </si>
  <si>
    <t xml:space="preserve">Montagestunden Wallbox mit PV</t>
  </si>
  <si>
    <t xml:space="preserve">Montage: Grundpauschale</t>
  </si>
  <si>
    <t xml:space="preserve">… je Modul</t>
  </si>
  <si>
    <t xml:space="preserve">Montage Speicher</t>
  </si>
  <si>
    <t xml:space="preserve">Notstromfunktion</t>
  </si>
  <si>
    <t xml:space="preserve">Unterkonstruktion, pro Modul</t>
  </si>
  <si>
    <t xml:space="preserve">DC/AC-Verkabelung, Schutzeinrichtungen, Kleinmaterial</t>
  </si>
  <si>
    <t xml:space="preserve">Gerüst / Absturzsicherung</t>
  </si>
  <si>
    <t xml:space="preserve">Anpassung Zählerschrank</t>
  </si>
  <si>
    <t xml:space="preserve">Anmeldung Netzbetreiber und MaStR</t>
  </si>
  <si>
    <t xml:space="preserve">Notstrom-Umschalter</t>
  </si>
  <si>
    <t xml:space="preserve">Ertragsberechnung</t>
  </si>
  <si>
    <t xml:space="preserve">Jahresertrag pro kWp (Südausrichtung)</t>
  </si>
  <si>
    <t xml:space="preserve">kWh</t>
  </si>
  <si>
    <t xml:space="preserve">Strompreis des Kunden</t>
  </si>
  <si>
    <t xml:space="preserve">€/kWh</t>
  </si>
  <si>
    <t xml:space="preserve">Einspeisevergütung</t>
  </si>
  <si>
    <t xml:space="preserve">System Loxone</t>
  </si>
  <si>
    <t xml:space="preserve">Bezeichnung im Angebot</t>
  </si>
  <si>
    <t xml:space="preserve">Loxone (Miniserver, Tree/Air)</t>
  </si>
  <si>
    <t xml:space="preserve">Zentrale / Grundausstattung – Material</t>
  </si>
  <si>
    <t xml:space="preserve">Zentrale / Grundausstattung – Stunden</t>
  </si>
  <si>
    <t xml:space="preserve">Licht, pro Raum – Material</t>
  </si>
  <si>
    <t xml:space="preserve">Licht, pro Raum – Stunden</t>
  </si>
  <si>
    <t xml:space="preserve">Heizung, pro Raum – Material</t>
  </si>
  <si>
    <t xml:space="preserve">Heizung, pro Raum – Stunden</t>
  </si>
  <si>
    <t xml:space="preserve">Rollladen, pro Stück – Material</t>
  </si>
  <si>
    <t xml:space="preserve">Rollladen, pro Stück – Stunden</t>
  </si>
  <si>
    <t xml:space="preserve">Sicherheitspaket – Material</t>
  </si>
  <si>
    <t xml:space="preserve">Sicherheitspaket – Stunden</t>
  </si>
  <si>
    <t xml:space="preserve">System Funk</t>
  </si>
  <si>
    <t xml:space="preserve">Homematic IP (Funk)</t>
  </si>
  <si>
    <t xml:space="preserve">System KNX</t>
  </si>
  <si>
    <t xml:space="preserve">KNX (Gira / ABB)</t>
  </si>
  <si>
    <t xml:space="preserve">Home Assistant</t>
  </si>
  <si>
    <t xml:space="preserve">Hardware (0 = keine)</t>
  </si>
  <si>
    <t xml:space="preserve">Einrichtung (Stunden)</t>
  </si>
  <si>
    <t xml:space="preserve">Hausgeräte</t>
  </si>
  <si>
    <t xml:space="preserve">Partner / Marken</t>
  </si>
  <si>
    <t xml:space="preserve">Ausgeschaltete Marken verschwinden mitsamt ihren Produkten aus der Online-Bestellung.</t>
  </si>
  <si>
    <t xml:space="preserve">Name</t>
  </si>
  <si>
    <t xml:space="preserve">Siemens Hausgeräte</t>
  </si>
  <si>
    <t xml:space="preserve">Miele</t>
  </si>
  <si>
    <t xml:space="preserve">Liebherr</t>
  </si>
  <si>
    <t xml:space="preserve">Produkte</t>
  </si>
  <si>
    <t xml:space="preserve">Preise BRUTTO (inkl. MwSt.) wie im Laden. Bild am besten quadratisch mit weißem Hintergrund; es wird automatisch verkleinert.</t>
  </si>
  <si>
    <t xml:space="preserve">Kategorie</t>
  </si>
  <si>
    <t xml:space="preserve">Kurzbeschreibung</t>
  </si>
  <si>
    <t xml:space="preserve">Anschluss/Montage brutto (€)</t>
  </si>
  <si>
    <t xml:space="preserve">Waschmaschine</t>
  </si>
  <si>
    <t xml:space="preserve">iQ300 Waschmaschine 8 kg</t>
  </si>
  <si>
    <t xml:space="preserve">Beispielprodukt – Ausstattung und Preis folgen</t>
  </si>
  <si>
    <t xml:space="preserve">iQ500 Waschmaschine 9 kg</t>
  </si>
  <si>
    <t xml:space="preserve">Wäschetrockner</t>
  </si>
  <si>
    <t xml:space="preserve">iQ500 Wärmepumpentrockner 8 kg</t>
  </si>
  <si>
    <t xml:space="preserve">Geschirrspüler</t>
  </si>
  <si>
    <t xml:space="preserve">iQ300 Einbau-Geschirrspüler 60 cm</t>
  </si>
  <si>
    <t xml:space="preserve">Backofen &amp; Herd</t>
  </si>
  <si>
    <t xml:space="preserve">iQ500 Einbau-Backofen</t>
  </si>
  <si>
    <t xml:space="preserve">Kühlen &amp; Gefrieren</t>
  </si>
  <si>
    <t xml:space="preserve">iQ300 Kühl-Gefrier-Kombination</t>
  </si>
  <si>
    <t xml:space="preserve">Waschmaschine W1 (Beispiel)</t>
  </si>
  <si>
    <t xml:space="preserve">Kühl-Gefrier-Kombination (Beispiel)</t>
  </si>
  <si>
    <t xml:space="preserve">Leistungen</t>
  </si>
  <si>
    <t xml:space="preserve">Lieferung pro Gerät (brutto)</t>
  </si>
  <si>
    <t xml:space="preserve">Altgerät-Mitnahme pro Gerät (brutto)</t>
  </si>
  <si>
    <t xml:space="preserve">Lieferzeit (Text für den Kunden)</t>
  </si>
  <si>
    <t xml:space="preserve">In der Regel 3–10 Werktage, Liefertermin nach Absprache.</t>
  </si>
  <si>
    <t xml:space="preserve">Installation pro m²</t>
  </si>
  <si>
    <t xml:space="preserve">Neubau – Material pro m²</t>
  </si>
  <si>
    <t xml:space="preserve">Neubau – Stunden pro m²</t>
  </si>
  <si>
    <t xml:space="preserve">Komplettsanierung – Material pro m²</t>
  </si>
  <si>
    <t xml:space="preserve">Komplettsanierung – Stunden pro m²</t>
  </si>
  <si>
    <t xml:space="preserve">Teilsanierung – Material pro m²</t>
  </si>
  <si>
    <t xml:space="preserve">Teilsanierung – Stunden pro m²</t>
  </si>
  <si>
    <t xml:space="preserve">Einzelpositionen</t>
  </si>
  <si>
    <t xml:space="preserve">Neuer Zählerschrank – Material</t>
  </si>
  <si>
    <t xml:space="preserve">Neuer Zählerschrank – Stunden</t>
  </si>
  <si>
    <t xml:space="preserve">Netzwerkdose – Material</t>
  </si>
  <si>
    <t xml:space="preserve">Netzwerkdose – Stunden</t>
  </si>
  <si>
    <t xml:space="preserve">Überspannungsschutz – Material</t>
  </si>
  <si>
    <t xml:space="preserve">Überspannungsschutz – Stunden</t>
  </si>
  <si>
    <t xml:space="preserve">E-CHECK – Material</t>
  </si>
  <si>
    <t xml:space="preserve">E-CHECK – Stunden</t>
  </si>
  <si>
    <t xml:space="preserve">Wallboxen (für Elektroinstallation und Photovoltaik)</t>
  </si>
  <si>
    <t xml:space="preserve">Der Kunde wählt die Wallbox im Rechner. Angeboten werden nur aktive Modelle.</t>
  </si>
  <si>
    <t xml:space="preserve">Wattpilot Home 11 J</t>
  </si>
  <si>
    <t xml:space="preserve">ABL</t>
  </si>
  <si>
    <t xml:space="preserve">eMH1 11 kW</t>
  </si>
  <si>
    <t xml:space="preserve">Mennekes</t>
  </si>
  <si>
    <t xml:space="preserve">AMTRON Compact 2.0s 11</t>
  </si>
  <si>
    <t xml:space="preserve">Heidelberg</t>
  </si>
  <si>
    <t xml:space="preserve">Energy Control</t>
  </si>
  <si>
    <t xml:space="preserve">Montage Wallbox</t>
  </si>
  <si>
    <t xml:space="preserve">Montagestunden (inkl. Zuleitung und Anmeldung)</t>
  </si>
  <si>
    <t xml:space="preserve">Partner</t>
  </si>
  <si>
    <t xml:space="preserve">Systempartner (auf der Website hervorgehoben), danach weitere Marken</t>
  </si>
  <si>
    <t xml:space="preserve">Art</t>
  </si>
  <si>
    <t xml:space="preserve">Website</t>
  </si>
  <si>
    <t xml:space="preserve">Photovoltaik (Service Partner Plus, TÜV)</t>
  </si>
  <si>
    <t xml:space="preserve">Systempartner</t>
  </si>
  <si>
    <t xml:space="preserve">http://www.fronius.com/</t>
  </si>
  <si>
    <t xml:space="preserve">Wärmepumpen</t>
  </si>
  <si>
    <t xml:space="preserve">https://www.dimplex.eu/de-de</t>
  </si>
  <si>
    <t xml:space="preserve">Klimaanlagen</t>
  </si>
  <si>
    <t xml:space="preserve">https://www.toshiba-aircondition.com/de/</t>
  </si>
  <si>
    <t xml:space="preserve">Loxone</t>
  </si>
  <si>
    <t xml:space="preserve">Smart Home / Gebäudeautomation</t>
  </si>
  <si>
    <t xml:space="preserve">https://www.loxone.com/dede/</t>
  </si>
  <si>
    <t xml:space="preserve">e-masters</t>
  </si>
  <si>
    <t xml:space="preserve">Verbund von Elektrofachbetrieben</t>
  </si>
  <si>
    <t xml:space="preserve">https://www.e-masters.de/</t>
  </si>
  <si>
    <t xml:space="preserve">ABN</t>
  </si>
  <si>
    <t xml:space="preserve">Installation / Fachgeschäft</t>
  </si>
  <si>
    <t xml:space="preserve">Marke</t>
  </si>
  <si>
    <t xml:space="preserve">https://www.abn-electro.com/</t>
  </si>
  <si>
    <t xml:space="preserve">Braun</t>
  </si>
  <si>
    <t xml:space="preserve">https://www.braun.com/</t>
  </si>
  <si>
    <t xml:space="preserve">Gira</t>
  </si>
  <si>
    <t xml:space="preserve">https://www.gira.de/</t>
  </si>
  <si>
    <t xml:space="preserve">Hager</t>
  </si>
  <si>
    <t xml:space="preserve">https://hager.com/de</t>
  </si>
  <si>
    <t xml:space="preserve">Jung</t>
  </si>
  <si>
    <t xml:space="preserve">https://www.jung.de/</t>
  </si>
  <si>
    <t xml:space="preserve">Krups</t>
  </si>
  <si>
    <t xml:space="preserve">https://www.krups.de/</t>
  </si>
  <si>
    <t xml:space="preserve">https://www.liebherr.com/</t>
  </si>
  <si>
    <t xml:space="preserve">https://www.miele.de/</t>
  </si>
  <si>
    <t xml:space="preserve">Philips</t>
  </si>
  <si>
    <t xml:space="preserve">https://www.philips.de/</t>
  </si>
  <si>
    <t xml:space="preserve">Siedle</t>
  </si>
  <si>
    <t xml:space="preserve">https://www.siedle.de/</t>
  </si>
  <si>
    <t xml:space="preserve">STR Elektronik</t>
  </si>
  <si>
    <t xml:space="preserve">https://www.str-elektronik.de/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</si>
</sst>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\-#,##0.00&quot; €&quot;;\-"/>
    <numFmt numFmtId="166" formatCode="0%"/>
    <numFmt numFmtId="167" formatCode="0"/>
    <numFmt numFmtId="168" formatCode="#,##0&quot; €&quot;;\-#,##0&quot; €&quot;;\-"/>
    <numFmt numFmtId="169" formatCode="#,##0.00"/>
    <numFmt numFmtId="170" formatCode="0.00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200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1F2328"/>
        <bgColor rgb="FF333300"/>
      </patternFill>
    </fill>
    <fill>
      <patternFill patternType="solid">
        <fgColor rgb="FFC8001A"/>
        <bgColor rgb="FFE200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2001A"/>
      <rgbColor rgb="FF00FF00"/>
      <rgbColor rgb="FF0000FF"/>
      <rgbColor rgb="FFFFFF00"/>
      <rgbColor rgb="FFFF00FF"/>
      <rgbColor rgb="FF00FFFF"/>
      <rgbColor rgb="FFC8001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4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4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4" t="s">
        <v>8</v>
      </c>
    </row>
    <row r="11" customFormat="false" ht="23.8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4" t="s">
        <v>16</v>
      </c>
    </row>
    <row r="19" customFormat="false" ht="15" hidden="false" customHeight="false" outlineLevel="0" collapsed="false">
      <c r="A19" s="5" t="s">
        <v>17</v>
      </c>
      <c r="B19" s="6" t="s">
        <v>18</v>
      </c>
    </row>
    <row r="20" customFormat="false" ht="15" hidden="false" customHeight="false" outlineLevel="0" collapsed="false">
      <c r="A20" s="7" t="s">
        <v>19</v>
      </c>
      <c r="B20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8" t="s">
        <v>21</v>
      </c>
    </row>
    <row r="2" customFormat="false" ht="15" hidden="false" customHeight="false" outlineLevel="0" collapsed="false">
      <c r="A2" s="9" t="s">
        <v>22</v>
      </c>
    </row>
    <row r="4" customFormat="false" ht="15" hidden="false" customHeight="false" outlineLevel="0" collapsed="false">
      <c r="A4" s="10" t="s">
        <v>23</v>
      </c>
      <c r="B4" s="10" t="s">
        <v>24</v>
      </c>
      <c r="C4" s="10" t="s">
        <v>25</v>
      </c>
    </row>
    <row r="5" customFormat="false" ht="15" hidden="false" customHeight="false" outlineLevel="0" collapsed="false">
      <c r="A5" s="11" t="s">
        <v>26</v>
      </c>
      <c r="B5" s="12" t="n">
        <v>45</v>
      </c>
      <c r="C5" s="11" t="s">
        <v>27</v>
      </c>
    </row>
    <row r="6" customFormat="false" ht="15" hidden="false" customHeight="false" outlineLevel="0" collapsed="false">
      <c r="A6" s="11" t="s">
        <v>28</v>
      </c>
      <c r="B6" s="12" t="n">
        <v>68</v>
      </c>
      <c r="C6" s="11" t="s">
        <v>29</v>
      </c>
    </row>
    <row r="7" customFormat="false" ht="15" hidden="false" customHeight="false" outlineLevel="0" collapsed="false">
      <c r="A7" s="11" t="s">
        <v>30</v>
      </c>
      <c r="B7" s="13" t="n">
        <v>0.08</v>
      </c>
      <c r="C7" s="11" t="s">
        <v>31</v>
      </c>
    </row>
    <row r="8" customFormat="false" ht="15" hidden="false" customHeight="false" outlineLevel="0" collapsed="false">
      <c r="A8" s="11" t="s">
        <v>32</v>
      </c>
      <c r="B8" s="13" t="n">
        <v>0.19</v>
      </c>
      <c r="C8" s="11" t="s">
        <v>31</v>
      </c>
    </row>
    <row r="9" customFormat="false" ht="15" hidden="false" customHeight="false" outlineLevel="0" collapsed="false">
      <c r="A9" s="11" t="s">
        <v>33</v>
      </c>
      <c r="B9" s="14" t="n">
        <v>30</v>
      </c>
      <c r="C9" s="11" t="s">
        <v>34</v>
      </c>
    </row>
    <row r="11" customFormat="false" ht="15" hidden="false" customHeight="false" outlineLevel="0" collapsed="false">
      <c r="A11" s="15" t="s">
        <v>35</v>
      </c>
    </row>
    <row r="12" customFormat="false" ht="15" hidden="false" customHeight="false" outlineLevel="0" collapsed="false">
      <c r="A12" s="9" t="s">
        <v>36</v>
      </c>
    </row>
    <row r="13" customFormat="false" ht="15" hidden="false" customHeight="false" outlineLevel="0" collapsed="false">
      <c r="A13" s="10" t="s">
        <v>23</v>
      </c>
      <c r="B13" s="10" t="s">
        <v>24</v>
      </c>
      <c r="C13" s="10" t="s">
        <v>25</v>
      </c>
    </row>
    <row r="14" customFormat="false" ht="15" hidden="false" customHeight="false" outlineLevel="0" collapsed="false">
      <c r="A14" s="11" t="s">
        <v>37</v>
      </c>
      <c r="B14" s="13" t="n">
        <v>0.3</v>
      </c>
      <c r="C14" s="11" t="s">
        <v>31</v>
      </c>
    </row>
    <row r="15" customFormat="false" ht="15" hidden="false" customHeight="false" outlineLevel="0" collapsed="false">
      <c r="A15" s="11" t="s">
        <v>38</v>
      </c>
      <c r="B15" s="13" t="n">
        <v>0.16</v>
      </c>
      <c r="C15" s="11" t="s">
        <v>31</v>
      </c>
    </row>
    <row r="16" customFormat="false" ht="15" hidden="false" customHeight="false" outlineLevel="0" collapsed="false">
      <c r="A16" s="11" t="s">
        <v>39</v>
      </c>
      <c r="B16" s="13" t="n">
        <v>0.7</v>
      </c>
      <c r="C16" s="11" t="s">
        <v>31</v>
      </c>
    </row>
    <row r="17" customFormat="false" ht="15" hidden="false" customHeight="false" outlineLevel="0" collapsed="false">
      <c r="A17" s="11" t="s">
        <v>40</v>
      </c>
      <c r="B17" s="13" t="n">
        <v>0.8</v>
      </c>
      <c r="C17" s="11" t="s">
        <v>31</v>
      </c>
    </row>
    <row r="18" customFormat="false" ht="15" hidden="false" customHeight="false" outlineLevel="0" collapsed="false">
      <c r="A18" s="11" t="s">
        <v>41</v>
      </c>
      <c r="B18" s="16" t="n">
        <v>28000</v>
      </c>
      <c r="C18" s="11" t="s">
        <v>27</v>
      </c>
    </row>
    <row r="20" customFormat="false" ht="15" hidden="false" customHeight="false" outlineLevel="0" collapsed="false">
      <c r="A20" s="15" t="s">
        <v>42</v>
      </c>
    </row>
    <row r="21" customFormat="false" ht="15" hidden="false" customHeight="false" outlineLevel="0" collapsed="false">
      <c r="A21" s="9" t="s">
        <v>43</v>
      </c>
    </row>
    <row r="22" customFormat="false" ht="15" hidden="false" customHeight="false" outlineLevel="0" collapsed="false">
      <c r="A22" s="10" t="s">
        <v>44</v>
      </c>
      <c r="B22" s="10" t="s">
        <v>45</v>
      </c>
      <c r="C22" s="10"/>
    </row>
    <row r="23" customFormat="false" ht="15" hidden="false" customHeight="false" outlineLevel="0" collapsed="false">
      <c r="A23" s="11" t="s">
        <v>46</v>
      </c>
      <c r="B23" s="17" t="s">
        <v>47</v>
      </c>
    </row>
    <row r="24" customFormat="false" ht="15" hidden="false" customHeight="false" outlineLevel="0" collapsed="false">
      <c r="A24" s="11" t="s">
        <v>48</v>
      </c>
      <c r="B24" s="17" t="s">
        <v>47</v>
      </c>
    </row>
    <row r="25" customFormat="false" ht="15" hidden="false" customHeight="false" outlineLevel="0" collapsed="false">
      <c r="A25" s="11" t="s">
        <v>49</v>
      </c>
      <c r="B25" s="17" t="s">
        <v>47</v>
      </c>
    </row>
    <row r="26" customFormat="false" ht="15" hidden="false" customHeight="false" outlineLevel="0" collapsed="false">
      <c r="A26" s="11" t="s">
        <v>50</v>
      </c>
      <c r="B26" s="17" t="s">
        <v>47</v>
      </c>
    </row>
    <row r="27" customFormat="false" ht="15" hidden="false" customHeight="false" outlineLevel="0" collapsed="false">
      <c r="A27" s="11" t="s">
        <v>51</v>
      </c>
      <c r="B27" s="17" t="s">
        <v>47</v>
      </c>
    </row>
    <row r="28" customFormat="false" ht="15" hidden="false" customHeight="false" outlineLevel="0" collapsed="false">
      <c r="A28" s="11" t="s">
        <v>52</v>
      </c>
      <c r="B28" s="17" t="s">
        <v>47</v>
      </c>
    </row>
    <row r="29" customFormat="false" ht="15" hidden="false" customHeight="false" outlineLevel="0" collapsed="false">
      <c r="A29" s="11" t="s">
        <v>53</v>
      </c>
      <c r="B29" s="17" t="s">
        <v>47</v>
      </c>
    </row>
  </sheetData>
  <dataValidations count="1">
    <dataValidation allowBlank="false" errorStyle="stop" operator="between" showDropDown="false" showErrorMessage="false" showInputMessage="false" sqref="B23:B29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9" t="s">
        <v>54</v>
      </c>
    </row>
    <row r="4" customFormat="false" ht="15" hidden="false" customHeight="false" outlineLevel="0" collapsed="false">
      <c r="A4" s="15" t="s">
        <v>55</v>
      </c>
    </row>
    <row r="5" customFormat="false" ht="15" hidden="false" customHeight="false" outlineLevel="0" collapsed="false">
      <c r="A5" s="9" t="s">
        <v>56</v>
      </c>
    </row>
    <row r="6" customFormat="false" ht="15" hidden="false" customHeight="false" outlineLevel="0" collapsed="false">
      <c r="A6" s="10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</row>
    <row r="7" customFormat="false" ht="15" hidden="false" customHeight="false" outlineLevel="0" collapsed="false">
      <c r="A7" s="17" t="s">
        <v>47</v>
      </c>
      <c r="B7" s="17" t="s">
        <v>64</v>
      </c>
      <c r="C7" s="17" t="s">
        <v>65</v>
      </c>
      <c r="D7" s="18" t="n">
        <v>2.5</v>
      </c>
      <c r="E7" s="17" t="s">
        <v>66</v>
      </c>
      <c r="F7" s="12" t="n">
        <v>990</v>
      </c>
      <c r="G7" s="19" t="n">
        <f aca="false">F7*(1+Allgemein!$B$8)</f>
        <v>1178.1</v>
      </c>
    </row>
    <row r="8" customFormat="false" ht="15" hidden="false" customHeight="false" outlineLevel="0" collapsed="false">
      <c r="A8" s="17" t="s">
        <v>47</v>
      </c>
      <c r="B8" s="17" t="s">
        <v>64</v>
      </c>
      <c r="C8" s="17" t="s">
        <v>67</v>
      </c>
      <c r="D8" s="18" t="n">
        <v>3.3</v>
      </c>
      <c r="E8" s="17" t="s">
        <v>66</v>
      </c>
      <c r="F8" s="12" t="n">
        <v>1120</v>
      </c>
      <c r="G8" s="19" t="n">
        <f aca="false">F8*(1+Allgemein!$B$8)</f>
        <v>1332.8</v>
      </c>
    </row>
    <row r="9" customFormat="false" ht="15" hidden="false" customHeight="false" outlineLevel="0" collapsed="false">
      <c r="A9" s="17" t="s">
        <v>47</v>
      </c>
      <c r="B9" s="17" t="s">
        <v>64</v>
      </c>
      <c r="C9" s="17" t="s">
        <v>68</v>
      </c>
      <c r="D9" s="18" t="n">
        <v>4.2</v>
      </c>
      <c r="E9" s="17" t="s">
        <v>66</v>
      </c>
      <c r="F9" s="12" t="n">
        <v>1390</v>
      </c>
      <c r="G9" s="19" t="n">
        <f aca="false">F9*(1+Allgemein!$B$8)</f>
        <v>1654.1</v>
      </c>
    </row>
    <row r="10" customFormat="false" ht="15" hidden="false" customHeight="false" outlineLevel="0" collapsed="false">
      <c r="A10" s="17" t="s">
        <v>47</v>
      </c>
      <c r="B10" s="17" t="s">
        <v>64</v>
      </c>
      <c r="C10" s="17" t="s">
        <v>69</v>
      </c>
      <c r="D10" s="18" t="n">
        <v>5</v>
      </c>
      <c r="E10" s="17" t="s">
        <v>66</v>
      </c>
      <c r="F10" s="12" t="n">
        <v>1590</v>
      </c>
      <c r="G10" s="19" t="n">
        <f aca="false">F10*(1+Allgemein!$B$8)</f>
        <v>1892.1</v>
      </c>
    </row>
    <row r="11" customFormat="false" ht="15" hidden="false" customHeight="false" outlineLevel="0" collapsed="false">
      <c r="A11" s="17" t="s">
        <v>47</v>
      </c>
      <c r="B11" s="17" t="s">
        <v>64</v>
      </c>
      <c r="C11" s="17" t="s">
        <v>70</v>
      </c>
      <c r="D11" s="18" t="n">
        <v>6.5</v>
      </c>
      <c r="E11" s="17" t="s">
        <v>66</v>
      </c>
      <c r="F11" s="12" t="n">
        <v>2090</v>
      </c>
      <c r="G11" s="19" t="n">
        <f aca="false">F11*(1+Allgemein!$B$8)</f>
        <v>2487.1</v>
      </c>
    </row>
    <row r="12" customFormat="false" ht="15" hidden="false" customHeight="false" outlineLevel="0" collapsed="false">
      <c r="A12" s="17" t="s">
        <v>47</v>
      </c>
      <c r="B12" s="17" t="s">
        <v>64</v>
      </c>
      <c r="C12" s="17" t="s">
        <v>71</v>
      </c>
      <c r="D12" s="18" t="n">
        <v>2.5</v>
      </c>
      <c r="E12" s="17" t="s">
        <v>72</v>
      </c>
      <c r="F12" s="12" t="n">
        <v>1390</v>
      </c>
      <c r="G12" s="19" t="n">
        <f aca="false">F12*(1+Allgemein!$B$8)</f>
        <v>1654.1</v>
      </c>
    </row>
    <row r="13" customFormat="false" ht="15" hidden="false" customHeight="false" outlineLevel="0" collapsed="false">
      <c r="A13" s="17" t="s">
        <v>47</v>
      </c>
      <c r="B13" s="17" t="s">
        <v>64</v>
      </c>
      <c r="C13" s="17" t="s">
        <v>73</v>
      </c>
      <c r="D13" s="18" t="n">
        <v>3.5</v>
      </c>
      <c r="E13" s="17" t="s">
        <v>72</v>
      </c>
      <c r="F13" s="12" t="n">
        <v>1550</v>
      </c>
      <c r="G13" s="19" t="n">
        <f aca="false">F13*(1+Allgemein!$B$8)</f>
        <v>1844.5</v>
      </c>
    </row>
    <row r="14" customFormat="false" ht="15" hidden="false" customHeight="false" outlineLevel="0" collapsed="false">
      <c r="A14" s="17" t="s">
        <v>47</v>
      </c>
      <c r="B14" s="17" t="s">
        <v>64</v>
      </c>
      <c r="C14" s="17" t="s">
        <v>74</v>
      </c>
      <c r="D14" s="18" t="n">
        <v>4.6</v>
      </c>
      <c r="E14" s="17" t="s">
        <v>72</v>
      </c>
      <c r="F14" s="12" t="n">
        <v>1790</v>
      </c>
      <c r="G14" s="19" t="n">
        <f aca="false">F14*(1+Allgemein!$B$8)</f>
        <v>2130.1</v>
      </c>
    </row>
    <row r="15" customFormat="false" ht="15" hidden="false" customHeight="false" outlineLevel="0" collapsed="false">
      <c r="A15" s="17" t="s">
        <v>47</v>
      </c>
      <c r="B15" s="17" t="s">
        <v>64</v>
      </c>
      <c r="C15" s="17" t="s">
        <v>75</v>
      </c>
      <c r="D15" s="18" t="n">
        <v>5</v>
      </c>
      <c r="E15" s="17" t="s">
        <v>72</v>
      </c>
      <c r="F15" s="12" t="n">
        <v>1990</v>
      </c>
      <c r="G15" s="19" t="n">
        <f aca="false">F15*(1+Allgemein!$B$8)</f>
        <v>2368.1</v>
      </c>
    </row>
    <row r="16" customFormat="false" ht="15" hidden="false" customHeight="false" outlineLevel="0" collapsed="false">
      <c r="A16" s="17" t="s">
        <v>47</v>
      </c>
      <c r="B16" s="17" t="s">
        <v>64</v>
      </c>
      <c r="C16" s="17" t="s">
        <v>76</v>
      </c>
      <c r="D16" s="18" t="n">
        <v>3.5</v>
      </c>
      <c r="E16" s="17" t="s">
        <v>72</v>
      </c>
      <c r="F16" s="12" t="n">
        <v>2390</v>
      </c>
      <c r="G16" s="19" t="n">
        <f aca="false">F16*(1+Allgemein!$B$8)</f>
        <v>2844.1</v>
      </c>
    </row>
    <row r="17" customFormat="false" ht="15" hidden="false" customHeight="false" outlineLevel="0" collapsed="false">
      <c r="A17" s="17" t="s">
        <v>47</v>
      </c>
      <c r="B17" s="17" t="s">
        <v>77</v>
      </c>
      <c r="C17" s="17" t="s">
        <v>78</v>
      </c>
      <c r="D17" s="18" t="n">
        <v>2.5</v>
      </c>
      <c r="E17" s="17" t="s">
        <v>66</v>
      </c>
      <c r="F17" s="12" t="n">
        <v>1090</v>
      </c>
      <c r="G17" s="19" t="n">
        <f aca="false">F17*(1+Allgemein!$B$8)</f>
        <v>1297.1</v>
      </c>
    </row>
    <row r="18" customFormat="false" ht="15" hidden="false" customHeight="false" outlineLevel="0" collapsed="false">
      <c r="A18" s="17" t="s">
        <v>47</v>
      </c>
      <c r="B18" s="17" t="s">
        <v>77</v>
      </c>
      <c r="C18" s="17" t="s">
        <v>79</v>
      </c>
      <c r="D18" s="18" t="n">
        <v>3.5</v>
      </c>
      <c r="E18" s="17" t="s">
        <v>66</v>
      </c>
      <c r="F18" s="12" t="n">
        <v>1240</v>
      </c>
      <c r="G18" s="19" t="n">
        <f aca="false">F18*(1+Allgemein!$B$8)</f>
        <v>1475.6</v>
      </c>
    </row>
    <row r="19" customFormat="false" ht="15" hidden="false" customHeight="false" outlineLevel="0" collapsed="false">
      <c r="A19" s="17" t="s">
        <v>47</v>
      </c>
      <c r="B19" s="17" t="s">
        <v>77</v>
      </c>
      <c r="C19" s="17" t="s">
        <v>80</v>
      </c>
      <c r="D19" s="18" t="n">
        <v>5</v>
      </c>
      <c r="E19" s="17" t="s">
        <v>66</v>
      </c>
      <c r="F19" s="12" t="n">
        <v>1690</v>
      </c>
      <c r="G19" s="19" t="n">
        <f aca="false">F19*(1+Allgemein!$B$8)</f>
        <v>2011.1</v>
      </c>
    </row>
    <row r="20" customFormat="false" ht="15" hidden="false" customHeight="false" outlineLevel="0" collapsed="false">
      <c r="A20" s="17" t="s">
        <v>47</v>
      </c>
      <c r="B20" s="17" t="s">
        <v>77</v>
      </c>
      <c r="C20" s="17" t="s">
        <v>81</v>
      </c>
      <c r="D20" s="18" t="n">
        <v>2.5</v>
      </c>
      <c r="E20" s="17" t="s">
        <v>72</v>
      </c>
      <c r="F20" s="12" t="n">
        <v>1490</v>
      </c>
      <c r="G20" s="19" t="n">
        <f aca="false">F20*(1+Allgemein!$B$8)</f>
        <v>1773.1</v>
      </c>
    </row>
    <row r="21" customFormat="false" ht="15" hidden="false" customHeight="false" outlineLevel="0" collapsed="false">
      <c r="A21" s="17" t="s">
        <v>47</v>
      </c>
      <c r="B21" s="17" t="s">
        <v>77</v>
      </c>
      <c r="C21" s="17" t="s">
        <v>82</v>
      </c>
      <c r="D21" s="18" t="n">
        <v>3.5</v>
      </c>
      <c r="E21" s="17" t="s">
        <v>72</v>
      </c>
      <c r="F21" s="12" t="n">
        <v>1690</v>
      </c>
      <c r="G21" s="19" t="n">
        <f aca="false">F21*(1+Allgemein!$B$8)</f>
        <v>2011.1</v>
      </c>
    </row>
    <row r="22" customFormat="false" ht="15" hidden="false" customHeight="false" outlineLevel="0" collapsed="false">
      <c r="A22" s="17" t="s">
        <v>47</v>
      </c>
      <c r="B22" s="17" t="s">
        <v>77</v>
      </c>
      <c r="C22" s="17" t="s">
        <v>83</v>
      </c>
      <c r="D22" s="18" t="n">
        <v>5</v>
      </c>
      <c r="E22" s="17" t="s">
        <v>72</v>
      </c>
      <c r="F22" s="12" t="n">
        <v>2190</v>
      </c>
      <c r="G22" s="19" t="n">
        <f aca="false">F22*(1+Allgemein!$B$8)</f>
        <v>2606.1</v>
      </c>
    </row>
    <row r="23" customFormat="false" ht="15" hidden="false" customHeight="false" outlineLevel="0" collapsed="false">
      <c r="A23" s="17" t="s">
        <v>47</v>
      </c>
      <c r="B23" s="17" t="s">
        <v>84</v>
      </c>
      <c r="C23" s="17" t="s">
        <v>85</v>
      </c>
      <c r="D23" s="18" t="n">
        <v>2.5</v>
      </c>
      <c r="E23" s="17" t="s">
        <v>66</v>
      </c>
      <c r="F23" s="12" t="n">
        <v>1150</v>
      </c>
      <c r="G23" s="19" t="n">
        <f aca="false">F23*(1+Allgemein!$B$8)</f>
        <v>1368.5</v>
      </c>
    </row>
    <row r="24" customFormat="false" ht="15" hidden="false" customHeight="false" outlineLevel="0" collapsed="false">
      <c r="A24" s="17" t="s">
        <v>47</v>
      </c>
      <c r="B24" s="17" t="s">
        <v>84</v>
      </c>
      <c r="C24" s="17" t="s">
        <v>86</v>
      </c>
      <c r="D24" s="18" t="n">
        <v>3.5</v>
      </c>
      <c r="E24" s="17" t="s">
        <v>66</v>
      </c>
      <c r="F24" s="12" t="n">
        <v>1290</v>
      </c>
      <c r="G24" s="19" t="n">
        <f aca="false">F24*(1+Allgemein!$B$8)</f>
        <v>1535.1</v>
      </c>
    </row>
    <row r="25" customFormat="false" ht="15" hidden="false" customHeight="false" outlineLevel="0" collapsed="false">
      <c r="A25" s="17" t="s">
        <v>47</v>
      </c>
      <c r="B25" s="17" t="s">
        <v>84</v>
      </c>
      <c r="C25" s="17" t="s">
        <v>87</v>
      </c>
      <c r="D25" s="18" t="n">
        <v>5</v>
      </c>
      <c r="E25" s="17" t="s">
        <v>66</v>
      </c>
      <c r="F25" s="12" t="n">
        <v>1750</v>
      </c>
      <c r="G25" s="19" t="n">
        <f aca="false">F25*(1+Allgemein!$B$8)</f>
        <v>2082.5</v>
      </c>
    </row>
    <row r="26" customFormat="false" ht="15" hidden="false" customHeight="false" outlineLevel="0" collapsed="false">
      <c r="A26" s="17" t="s">
        <v>47</v>
      </c>
      <c r="B26" s="17" t="s">
        <v>84</v>
      </c>
      <c r="C26" s="17" t="s">
        <v>88</v>
      </c>
      <c r="D26" s="18" t="n">
        <v>7.1</v>
      </c>
      <c r="E26" s="17" t="s">
        <v>66</v>
      </c>
      <c r="F26" s="12" t="n">
        <v>2390</v>
      </c>
      <c r="G26" s="19" t="n">
        <f aca="false">F26*(1+Allgemein!$B$8)</f>
        <v>2844.1</v>
      </c>
    </row>
    <row r="27" customFormat="false" ht="15" hidden="false" customHeight="false" outlineLevel="0" collapsed="false">
      <c r="A27" s="9" t="s">
        <v>89</v>
      </c>
    </row>
    <row r="29" customFormat="false" ht="15" hidden="false" customHeight="false" outlineLevel="0" collapsed="false">
      <c r="A29" s="15" t="s">
        <v>90</v>
      </c>
    </row>
    <row r="30" customFormat="false" ht="15" hidden="false" customHeight="false" outlineLevel="0" collapsed="false">
      <c r="A30" s="10" t="s">
        <v>57</v>
      </c>
      <c r="B30" s="10" t="s">
        <v>58</v>
      </c>
      <c r="C30" s="10" t="s">
        <v>59</v>
      </c>
      <c r="D30" s="10" t="s">
        <v>60</v>
      </c>
      <c r="E30" s="10" t="s">
        <v>61</v>
      </c>
      <c r="F30" s="10" t="s">
        <v>62</v>
      </c>
      <c r="G30" s="10" t="s">
        <v>63</v>
      </c>
    </row>
    <row r="31" customFormat="false" ht="15" hidden="false" customHeight="false" outlineLevel="0" collapsed="false">
      <c r="A31" s="17" t="s">
        <v>47</v>
      </c>
      <c r="B31" s="17" t="s">
        <v>64</v>
      </c>
      <c r="C31" s="17" t="s">
        <v>91</v>
      </c>
      <c r="D31" s="18" t="n">
        <v>2.5</v>
      </c>
      <c r="E31" s="17" t="s">
        <v>66</v>
      </c>
      <c r="F31" s="12" t="n">
        <v>420</v>
      </c>
      <c r="G31" s="19" t="n">
        <f aca="false">F31*(1+Allgemein!$B$8)</f>
        <v>499.8</v>
      </c>
    </row>
    <row r="32" customFormat="false" ht="15" hidden="false" customHeight="false" outlineLevel="0" collapsed="false">
      <c r="A32" s="17" t="s">
        <v>47</v>
      </c>
      <c r="B32" s="17" t="s">
        <v>64</v>
      </c>
      <c r="C32" s="17" t="s">
        <v>92</v>
      </c>
      <c r="D32" s="18" t="n">
        <v>3.3</v>
      </c>
      <c r="E32" s="17" t="s">
        <v>66</v>
      </c>
      <c r="F32" s="12" t="n">
        <v>470</v>
      </c>
      <c r="G32" s="19" t="n">
        <f aca="false">F32*(1+Allgemein!$B$8)</f>
        <v>559.3</v>
      </c>
    </row>
    <row r="33" customFormat="false" ht="15" hidden="false" customHeight="false" outlineLevel="0" collapsed="false">
      <c r="A33" s="17" t="s">
        <v>47</v>
      </c>
      <c r="B33" s="17" t="s">
        <v>64</v>
      </c>
      <c r="C33" s="17" t="s">
        <v>93</v>
      </c>
      <c r="D33" s="18" t="n">
        <v>4.2</v>
      </c>
      <c r="E33" s="17" t="s">
        <v>66</v>
      </c>
      <c r="F33" s="12" t="n">
        <v>560</v>
      </c>
      <c r="G33" s="19" t="n">
        <f aca="false">F33*(1+Allgemein!$B$8)</f>
        <v>666.4</v>
      </c>
    </row>
    <row r="34" customFormat="false" ht="15" hidden="false" customHeight="false" outlineLevel="0" collapsed="false">
      <c r="A34" s="17" t="s">
        <v>47</v>
      </c>
      <c r="B34" s="17" t="s">
        <v>64</v>
      </c>
      <c r="C34" s="17" t="s">
        <v>94</v>
      </c>
      <c r="D34" s="18" t="n">
        <v>2.5</v>
      </c>
      <c r="E34" s="17" t="s">
        <v>72</v>
      </c>
      <c r="F34" s="12" t="n">
        <v>590</v>
      </c>
      <c r="G34" s="19" t="n">
        <f aca="false">F34*(1+Allgemein!$B$8)</f>
        <v>702.1</v>
      </c>
    </row>
    <row r="35" customFormat="false" ht="15" hidden="false" customHeight="false" outlineLevel="0" collapsed="false">
      <c r="A35" s="17" t="s">
        <v>47</v>
      </c>
      <c r="B35" s="17" t="s">
        <v>64</v>
      </c>
      <c r="C35" s="17" t="s">
        <v>95</v>
      </c>
      <c r="D35" s="18" t="n">
        <v>3.5</v>
      </c>
      <c r="E35" s="17" t="s">
        <v>72</v>
      </c>
      <c r="F35" s="12" t="n">
        <v>660</v>
      </c>
      <c r="G35" s="19" t="n">
        <f aca="false">F35*(1+Allgemein!$B$8)</f>
        <v>785.4</v>
      </c>
    </row>
    <row r="36" customFormat="false" ht="15" hidden="false" customHeight="false" outlineLevel="0" collapsed="false">
      <c r="A36" s="17" t="s">
        <v>47</v>
      </c>
      <c r="B36" s="17" t="s">
        <v>64</v>
      </c>
      <c r="C36" s="17" t="s">
        <v>96</v>
      </c>
      <c r="D36" s="18" t="n">
        <v>4.6</v>
      </c>
      <c r="E36" s="17" t="s">
        <v>72</v>
      </c>
      <c r="F36" s="12" t="n">
        <v>760</v>
      </c>
      <c r="G36" s="19" t="n">
        <f aca="false">F36*(1+Allgemein!$B$8)</f>
        <v>904.4</v>
      </c>
    </row>
    <row r="37" customFormat="false" ht="15" hidden="false" customHeight="false" outlineLevel="0" collapsed="false">
      <c r="A37" s="17" t="s">
        <v>47</v>
      </c>
      <c r="B37" s="17" t="s">
        <v>77</v>
      </c>
      <c r="C37" s="17" t="s">
        <v>97</v>
      </c>
      <c r="D37" s="18" t="n">
        <v>2</v>
      </c>
      <c r="E37" s="17" t="s">
        <v>72</v>
      </c>
      <c r="F37" s="12" t="n">
        <v>560</v>
      </c>
      <c r="G37" s="19" t="n">
        <f aca="false">F37*(1+Allgemein!$B$8)</f>
        <v>666.4</v>
      </c>
    </row>
    <row r="38" customFormat="false" ht="15" hidden="false" customHeight="false" outlineLevel="0" collapsed="false">
      <c r="A38" s="17" t="s">
        <v>47</v>
      </c>
      <c r="B38" s="17" t="s">
        <v>77</v>
      </c>
      <c r="C38" s="17" t="s">
        <v>98</v>
      </c>
      <c r="D38" s="18" t="n">
        <v>2.5</v>
      </c>
      <c r="E38" s="17" t="s">
        <v>72</v>
      </c>
      <c r="F38" s="12" t="n">
        <v>600</v>
      </c>
      <c r="G38" s="19" t="n">
        <f aca="false">F38*(1+Allgemein!$B$8)</f>
        <v>714</v>
      </c>
    </row>
    <row r="39" customFormat="false" ht="15" hidden="false" customHeight="false" outlineLevel="0" collapsed="false">
      <c r="A39" s="17" t="s">
        <v>47</v>
      </c>
      <c r="B39" s="17" t="s">
        <v>77</v>
      </c>
      <c r="C39" s="17" t="s">
        <v>99</v>
      </c>
      <c r="D39" s="18" t="n">
        <v>3.5</v>
      </c>
      <c r="E39" s="17" t="s">
        <v>72</v>
      </c>
      <c r="F39" s="12" t="n">
        <v>680</v>
      </c>
      <c r="G39" s="19" t="n">
        <f aca="false">F39*(1+Allgemein!$B$8)</f>
        <v>809.2</v>
      </c>
    </row>
    <row r="40" customFormat="false" ht="15" hidden="false" customHeight="false" outlineLevel="0" collapsed="false">
      <c r="A40" s="17" t="s">
        <v>47</v>
      </c>
      <c r="B40" s="17" t="s">
        <v>77</v>
      </c>
      <c r="C40" s="17" t="s">
        <v>100</v>
      </c>
      <c r="D40" s="18" t="n">
        <v>5</v>
      </c>
      <c r="E40" s="17" t="s">
        <v>72</v>
      </c>
      <c r="F40" s="12" t="n">
        <v>860</v>
      </c>
      <c r="G40" s="19" t="n">
        <f aca="false">F40*(1+Allgemein!$B$8)</f>
        <v>1023.4</v>
      </c>
    </row>
    <row r="41" customFormat="false" ht="15" hidden="false" customHeight="false" outlineLevel="0" collapsed="false">
      <c r="A41" s="17" t="s">
        <v>47</v>
      </c>
      <c r="B41" s="17" t="s">
        <v>77</v>
      </c>
      <c r="C41" s="17" t="s">
        <v>101</v>
      </c>
      <c r="D41" s="18" t="n">
        <v>2.5</v>
      </c>
      <c r="E41" s="17" t="s">
        <v>66</v>
      </c>
      <c r="F41" s="12" t="n">
        <v>430</v>
      </c>
      <c r="G41" s="19" t="n">
        <f aca="false">F41*(1+Allgemein!$B$8)</f>
        <v>511.7</v>
      </c>
    </row>
    <row r="42" customFormat="false" ht="15" hidden="false" customHeight="false" outlineLevel="0" collapsed="false">
      <c r="A42" s="17" t="s">
        <v>47</v>
      </c>
      <c r="B42" s="17" t="s">
        <v>77</v>
      </c>
      <c r="C42" s="17" t="s">
        <v>102</v>
      </c>
      <c r="D42" s="18" t="n">
        <v>3.5</v>
      </c>
      <c r="E42" s="17" t="s">
        <v>66</v>
      </c>
      <c r="F42" s="12" t="n">
        <v>490</v>
      </c>
      <c r="G42" s="19" t="n">
        <f aca="false">F42*(1+Allgemein!$B$8)</f>
        <v>583.1</v>
      </c>
    </row>
    <row r="43" customFormat="false" ht="15" hidden="false" customHeight="false" outlineLevel="0" collapsed="false">
      <c r="A43" s="17" t="s">
        <v>47</v>
      </c>
      <c r="B43" s="17" t="s">
        <v>77</v>
      </c>
      <c r="C43" s="17" t="s">
        <v>103</v>
      </c>
      <c r="D43" s="18" t="n">
        <v>5</v>
      </c>
      <c r="E43" s="17" t="s">
        <v>66</v>
      </c>
      <c r="F43" s="12" t="n">
        <v>640</v>
      </c>
      <c r="G43" s="19" t="n">
        <f aca="false">F43*(1+Allgemein!$B$8)</f>
        <v>761.6</v>
      </c>
    </row>
    <row r="44" customFormat="false" ht="15" hidden="false" customHeight="false" outlineLevel="0" collapsed="false">
      <c r="A44" s="9" t="s">
        <v>89</v>
      </c>
    </row>
    <row r="46" customFormat="false" ht="15" hidden="false" customHeight="false" outlineLevel="0" collapsed="false">
      <c r="A46" s="15" t="s">
        <v>104</v>
      </c>
    </row>
    <row r="47" customFormat="false" ht="15" hidden="false" customHeight="false" outlineLevel="0" collapsed="false">
      <c r="A47" s="10" t="s">
        <v>57</v>
      </c>
      <c r="B47" s="10" t="s">
        <v>58</v>
      </c>
      <c r="C47" s="10" t="s">
        <v>59</v>
      </c>
      <c r="D47" s="10" t="s">
        <v>105</v>
      </c>
      <c r="E47" s="10" t="s">
        <v>60</v>
      </c>
      <c r="F47" s="10" t="s">
        <v>62</v>
      </c>
      <c r="G47" s="10" t="s">
        <v>63</v>
      </c>
    </row>
    <row r="48" customFormat="false" ht="15" hidden="false" customHeight="false" outlineLevel="0" collapsed="false">
      <c r="A48" s="17" t="s">
        <v>47</v>
      </c>
      <c r="B48" s="17" t="s">
        <v>64</v>
      </c>
      <c r="C48" s="17" t="s">
        <v>106</v>
      </c>
      <c r="D48" s="18" t="n">
        <v>2</v>
      </c>
      <c r="E48" s="18" t="n">
        <v>4</v>
      </c>
      <c r="F48" s="12" t="n">
        <v>1590</v>
      </c>
      <c r="G48" s="19" t="n">
        <f aca="false">F48*(1+Allgemein!$B$8)</f>
        <v>1892.1</v>
      </c>
    </row>
    <row r="49" customFormat="false" ht="15" hidden="false" customHeight="false" outlineLevel="0" collapsed="false">
      <c r="A49" s="17" t="s">
        <v>47</v>
      </c>
      <c r="B49" s="17" t="s">
        <v>64</v>
      </c>
      <c r="C49" s="17" t="s">
        <v>107</v>
      </c>
      <c r="D49" s="18" t="n">
        <v>3</v>
      </c>
      <c r="E49" s="18" t="n">
        <v>5.2</v>
      </c>
      <c r="F49" s="12" t="n">
        <v>1990</v>
      </c>
      <c r="G49" s="19" t="n">
        <f aca="false">F49*(1+Allgemein!$B$8)</f>
        <v>2368.1</v>
      </c>
    </row>
    <row r="50" customFormat="false" ht="15" hidden="false" customHeight="false" outlineLevel="0" collapsed="false">
      <c r="A50" s="17" t="s">
        <v>47</v>
      </c>
      <c r="B50" s="17" t="s">
        <v>64</v>
      </c>
      <c r="C50" s="17" t="s">
        <v>108</v>
      </c>
      <c r="D50" s="18" t="n">
        <v>3</v>
      </c>
      <c r="E50" s="18" t="n">
        <v>7.5</v>
      </c>
      <c r="F50" s="12" t="n">
        <v>2390</v>
      </c>
      <c r="G50" s="19" t="n">
        <f aca="false">F50*(1+Allgemein!$B$8)</f>
        <v>2844.1</v>
      </c>
    </row>
    <row r="51" customFormat="false" ht="15" hidden="false" customHeight="false" outlineLevel="0" collapsed="false">
      <c r="A51" s="17" t="s">
        <v>47</v>
      </c>
      <c r="B51" s="17" t="s">
        <v>64</v>
      </c>
      <c r="C51" s="17" t="s">
        <v>109</v>
      </c>
      <c r="D51" s="18" t="n">
        <v>4</v>
      </c>
      <c r="E51" s="18" t="n">
        <v>8</v>
      </c>
      <c r="F51" s="12" t="n">
        <v>2690</v>
      </c>
      <c r="G51" s="19" t="n">
        <f aca="false">F51*(1+Allgemein!$B$8)</f>
        <v>3201.1</v>
      </c>
    </row>
    <row r="52" customFormat="false" ht="15" hidden="false" customHeight="false" outlineLevel="0" collapsed="false">
      <c r="A52" s="17" t="s">
        <v>47</v>
      </c>
      <c r="B52" s="17" t="s">
        <v>64</v>
      </c>
      <c r="C52" s="17" t="s">
        <v>110</v>
      </c>
      <c r="D52" s="18" t="n">
        <v>5</v>
      </c>
      <c r="E52" s="18" t="n">
        <v>10</v>
      </c>
      <c r="F52" s="12" t="n">
        <v>3190</v>
      </c>
      <c r="G52" s="19" t="n">
        <f aca="false">F52*(1+Allgemein!$B$8)</f>
        <v>3796.1</v>
      </c>
    </row>
    <row r="53" customFormat="false" ht="15" hidden="false" customHeight="false" outlineLevel="0" collapsed="false">
      <c r="A53" s="17" t="s">
        <v>47</v>
      </c>
      <c r="B53" s="17" t="s">
        <v>77</v>
      </c>
      <c r="C53" s="17" t="s">
        <v>111</v>
      </c>
      <c r="D53" s="18" t="n">
        <v>2</v>
      </c>
      <c r="E53" s="18" t="n">
        <v>5</v>
      </c>
      <c r="F53" s="12" t="n">
        <v>1790</v>
      </c>
      <c r="G53" s="19" t="n">
        <f aca="false">F53*(1+Allgemein!$B$8)</f>
        <v>2130.1</v>
      </c>
    </row>
    <row r="54" customFormat="false" ht="15" hidden="false" customHeight="false" outlineLevel="0" collapsed="false">
      <c r="A54" s="17" t="s">
        <v>47</v>
      </c>
      <c r="B54" s="17" t="s">
        <v>77</v>
      </c>
      <c r="C54" s="17" t="s">
        <v>112</v>
      </c>
      <c r="D54" s="18" t="n">
        <v>3</v>
      </c>
      <c r="E54" s="18" t="n">
        <v>5.2</v>
      </c>
      <c r="F54" s="12" t="n">
        <v>2190</v>
      </c>
      <c r="G54" s="19" t="n">
        <f aca="false">F54*(1+Allgemein!$B$8)</f>
        <v>2606.1</v>
      </c>
    </row>
    <row r="55" customFormat="false" ht="15" hidden="false" customHeight="false" outlineLevel="0" collapsed="false">
      <c r="A55" s="17" t="s">
        <v>47</v>
      </c>
      <c r="B55" s="17" t="s">
        <v>77</v>
      </c>
      <c r="C55" s="17" t="s">
        <v>113</v>
      </c>
      <c r="D55" s="18" t="n">
        <v>4</v>
      </c>
      <c r="E55" s="18" t="n">
        <v>6.8</v>
      </c>
      <c r="F55" s="12" t="n">
        <v>2690</v>
      </c>
      <c r="G55" s="19" t="n">
        <f aca="false">F55*(1+Allgemein!$B$8)</f>
        <v>3201.1</v>
      </c>
    </row>
    <row r="56" customFormat="false" ht="15" hidden="false" customHeight="false" outlineLevel="0" collapsed="false">
      <c r="A56" s="17" t="s">
        <v>47</v>
      </c>
      <c r="B56" s="17" t="s">
        <v>77</v>
      </c>
      <c r="C56" s="17" t="s">
        <v>114</v>
      </c>
      <c r="D56" s="18" t="n">
        <v>5</v>
      </c>
      <c r="E56" s="18" t="n">
        <v>9</v>
      </c>
      <c r="F56" s="12" t="n">
        <v>3290</v>
      </c>
      <c r="G56" s="19" t="n">
        <f aca="false">F56*(1+Allgemein!$B$8)</f>
        <v>3915.1</v>
      </c>
    </row>
    <row r="57" customFormat="false" ht="15" hidden="false" customHeight="false" outlineLevel="0" collapsed="false">
      <c r="A57" s="9" t="s">
        <v>89</v>
      </c>
    </row>
    <row r="59" customFormat="false" ht="15" hidden="false" customHeight="false" outlineLevel="0" collapsed="false">
      <c r="A59" s="15" t="s">
        <v>115</v>
      </c>
    </row>
    <row r="60" customFormat="false" ht="15" hidden="false" customHeight="false" outlineLevel="0" collapsed="false">
      <c r="A60" s="10" t="s">
        <v>116</v>
      </c>
      <c r="B60" s="10" t="s">
        <v>24</v>
      </c>
      <c r="C60" s="10" t="s">
        <v>25</v>
      </c>
      <c r="D60" s="10" t="s">
        <v>117</v>
      </c>
      <c r="E60" s="10" t="s">
        <v>118</v>
      </c>
    </row>
    <row r="61" customFormat="false" ht="15" hidden="false" customHeight="false" outlineLevel="0" collapsed="false">
      <c r="A61" s="11" t="s">
        <v>119</v>
      </c>
      <c r="B61" s="18" t="n">
        <v>6</v>
      </c>
      <c r="C61" s="11" t="s">
        <v>120</v>
      </c>
      <c r="D61" s="19" t="n">
        <f aca="false">B61*Allgemein!$B$6</f>
        <v>408</v>
      </c>
      <c r="E61" s="19" t="n">
        <f aca="false">D61*(1+Allgemein!$B$8)</f>
        <v>485.52</v>
      </c>
    </row>
    <row r="62" customFormat="false" ht="15" hidden="false" customHeight="false" outlineLevel="0" collapsed="false">
      <c r="A62" s="11" t="s">
        <v>121</v>
      </c>
      <c r="B62" s="18" t="n">
        <v>7</v>
      </c>
      <c r="C62" s="11" t="s">
        <v>120</v>
      </c>
      <c r="D62" s="19" t="n">
        <f aca="false">B62*Allgemein!$B$6</f>
        <v>476</v>
      </c>
      <c r="E62" s="19" t="n">
        <f aca="false">D62*(1+Allgemein!$B$8)</f>
        <v>566.44</v>
      </c>
    </row>
    <row r="63" customFormat="false" ht="15" hidden="false" customHeight="false" outlineLevel="0" collapsed="false">
      <c r="A63" s="11" t="s">
        <v>122</v>
      </c>
      <c r="B63" s="18" t="n">
        <v>4</v>
      </c>
      <c r="C63" s="11" t="s">
        <v>120</v>
      </c>
      <c r="D63" s="19" t="n">
        <f aca="false">B63*Allgemein!$B$6</f>
        <v>272</v>
      </c>
      <c r="E63" s="19" t="n">
        <f aca="false">D63*(1+Allgemein!$B$8)</f>
        <v>323.68</v>
      </c>
    </row>
    <row r="64" customFormat="false" ht="15" hidden="false" customHeight="false" outlineLevel="0" collapsed="false">
      <c r="A64" s="11" t="s">
        <v>123</v>
      </c>
      <c r="B64" s="18" t="n">
        <v>0.25</v>
      </c>
      <c r="C64" s="11" t="s">
        <v>120</v>
      </c>
      <c r="D64" s="19" t="n">
        <f aca="false">B64*Allgemein!$B$6</f>
        <v>17</v>
      </c>
      <c r="E64" s="19" t="n">
        <f aca="false">D64*(1+Allgemein!$B$8)</f>
        <v>20.23</v>
      </c>
    </row>
    <row r="65" customFormat="false" ht="15" hidden="false" customHeight="false" outlineLevel="0" collapsed="false">
      <c r="A65" s="11" t="s">
        <v>124</v>
      </c>
      <c r="B65" s="18" t="n">
        <v>0.75</v>
      </c>
      <c r="C65" s="11" t="s">
        <v>120</v>
      </c>
      <c r="D65" s="19" t="n">
        <f aca="false">B65*Allgemein!$B$6</f>
        <v>51</v>
      </c>
      <c r="E65" s="19" t="n">
        <f aca="false">D65*(1+Allgemein!$B$8)</f>
        <v>60.69</v>
      </c>
    </row>
    <row r="66" customFormat="false" ht="15" hidden="false" customHeight="false" outlineLevel="0" collapsed="false">
      <c r="A66" s="11" t="s">
        <v>125</v>
      </c>
      <c r="B66" s="18" t="n">
        <v>0.5</v>
      </c>
      <c r="C66" s="11" t="s">
        <v>120</v>
      </c>
      <c r="D66" s="19" t="n">
        <f aca="false">B66*Allgemein!$B$6</f>
        <v>34</v>
      </c>
      <c r="E66" s="19" t="n">
        <f aca="false">D66*(1+Allgemein!$B$8)</f>
        <v>40.46</v>
      </c>
    </row>
    <row r="67" customFormat="false" ht="15" hidden="false" customHeight="false" outlineLevel="0" collapsed="false">
      <c r="A67" s="11" t="s">
        <v>126</v>
      </c>
      <c r="B67" s="18" t="n">
        <v>2</v>
      </c>
      <c r="C67" s="11" t="s">
        <v>120</v>
      </c>
      <c r="D67" s="19" t="n">
        <f aca="false">B67*Allgemein!$B$6</f>
        <v>136</v>
      </c>
      <c r="E67" s="19" t="n">
        <f aca="false">D67*(1+Allgemein!$B$8)</f>
        <v>161.84</v>
      </c>
    </row>
    <row r="68" customFormat="false" ht="15" hidden="false" customHeight="false" outlineLevel="0" collapsed="false">
      <c r="A68" s="11" t="s">
        <v>127</v>
      </c>
      <c r="B68" s="18" t="n">
        <v>1</v>
      </c>
      <c r="C68" s="11" t="s">
        <v>120</v>
      </c>
      <c r="D68" s="19" t="n">
        <f aca="false">B68*Allgemein!$B$6</f>
        <v>68</v>
      </c>
      <c r="E68" s="19" t="n">
        <f aca="false">D68*(1+Allgemein!$B$8)</f>
        <v>80.92</v>
      </c>
    </row>
    <row r="70" customFormat="false" ht="15" hidden="false" customHeight="false" outlineLevel="0" collapsed="false">
      <c r="A70" s="15" t="s">
        <v>128</v>
      </c>
    </row>
    <row r="71" customFormat="false" ht="15" hidden="false" customHeight="false" outlineLevel="0" collapsed="false">
      <c r="A71" s="10" t="s">
        <v>116</v>
      </c>
      <c r="B71" s="10" t="s">
        <v>24</v>
      </c>
      <c r="C71" s="10" t="s">
        <v>25</v>
      </c>
      <c r="D71" s="10" t="s">
        <v>117</v>
      </c>
      <c r="E71" s="10" t="s">
        <v>118</v>
      </c>
    </row>
    <row r="72" customFormat="false" ht="15" hidden="false" customHeight="false" outlineLevel="0" collapsed="false">
      <c r="A72" s="11" t="s">
        <v>129</v>
      </c>
      <c r="B72" s="12" t="n">
        <v>190</v>
      </c>
      <c r="C72" s="11" t="s">
        <v>27</v>
      </c>
      <c r="E72" s="19" t="n">
        <f aca="false">B72*(1+Allgemein!$B$8)</f>
        <v>226.1</v>
      </c>
    </row>
    <row r="73" customFormat="false" ht="15" hidden="false" customHeight="false" outlineLevel="0" collapsed="false">
      <c r="A73" s="11" t="s">
        <v>130</v>
      </c>
      <c r="B73" s="12" t="n">
        <v>150</v>
      </c>
      <c r="C73" s="11" t="s">
        <v>27</v>
      </c>
      <c r="E73" s="19" t="n">
        <f aca="false">B73*(1+Allgemein!$B$8)</f>
        <v>178.5</v>
      </c>
    </row>
    <row r="74" customFormat="false" ht="15" hidden="false" customHeight="false" outlineLevel="0" collapsed="false">
      <c r="A74" s="11" t="s">
        <v>123</v>
      </c>
      <c r="B74" s="12" t="n">
        <v>26</v>
      </c>
      <c r="C74" s="11" t="s">
        <v>27</v>
      </c>
      <c r="E74" s="19" t="n">
        <f aca="false">B74*(1+Allgemein!$B$8)</f>
        <v>30.94</v>
      </c>
    </row>
    <row r="75" customFormat="false" ht="15" hidden="false" customHeight="false" outlineLevel="0" collapsed="false">
      <c r="A75" s="11" t="s">
        <v>131</v>
      </c>
      <c r="B75" s="12" t="n">
        <v>110</v>
      </c>
      <c r="C75" s="11" t="s">
        <v>27</v>
      </c>
      <c r="E75" s="19" t="n">
        <f aca="false">B75*(1+Allgemein!$B$8)</f>
        <v>130.9</v>
      </c>
    </row>
    <row r="76" customFormat="false" ht="15" hidden="false" customHeight="false" outlineLevel="0" collapsed="false">
      <c r="A76" s="11" t="s">
        <v>132</v>
      </c>
      <c r="B76" s="12" t="n">
        <v>360</v>
      </c>
      <c r="C76" s="11" t="s">
        <v>27</v>
      </c>
      <c r="E76" s="19" t="n">
        <f aca="false">B76*(1+Allgemein!$B$8)</f>
        <v>428.4</v>
      </c>
    </row>
    <row r="77" customFormat="false" ht="15" hidden="false" customHeight="false" outlineLevel="0" collapsed="false">
      <c r="A77" s="11" t="s">
        <v>124</v>
      </c>
      <c r="B77" s="12" t="n">
        <v>55</v>
      </c>
      <c r="C77" s="11" t="s">
        <v>27</v>
      </c>
      <c r="E77" s="19" t="n">
        <f aca="false">B77*(1+Allgemein!$B$8)</f>
        <v>65.45</v>
      </c>
    </row>
    <row r="78" customFormat="false" ht="15" hidden="false" customHeight="false" outlineLevel="0" collapsed="false">
      <c r="A78" s="11" t="s">
        <v>133</v>
      </c>
      <c r="B78" s="12" t="n">
        <v>135</v>
      </c>
      <c r="C78" s="11" t="s">
        <v>27</v>
      </c>
      <c r="E78" s="19" t="n">
        <f aca="false">B78*(1+Allgemein!$B$8)</f>
        <v>160.65</v>
      </c>
    </row>
    <row r="79" customFormat="false" ht="15" hidden="false" customHeight="false" outlineLevel="0" collapsed="false">
      <c r="A79" s="11" t="s">
        <v>134</v>
      </c>
      <c r="B79" s="12" t="n">
        <v>170</v>
      </c>
      <c r="C79" s="11" t="s">
        <v>27</v>
      </c>
      <c r="E79" s="19" t="n">
        <f aca="false">B79*(1+Allgemein!$B$8)</f>
        <v>202.3</v>
      </c>
    </row>
    <row r="81" customFormat="false" ht="15" hidden="false" customHeight="false" outlineLevel="0" collapsed="false">
      <c r="A81" s="15" t="s">
        <v>135</v>
      </c>
    </row>
    <row r="82" customFormat="false" ht="15" hidden="false" customHeight="false" outlineLevel="0" collapsed="false">
      <c r="A82" s="10" t="s">
        <v>116</v>
      </c>
      <c r="B82" s="10" t="s">
        <v>24</v>
      </c>
      <c r="C82" s="10" t="s">
        <v>25</v>
      </c>
      <c r="D82" s="10" t="s">
        <v>117</v>
      </c>
      <c r="E82" s="10" t="s">
        <v>118</v>
      </c>
    </row>
    <row r="83" customFormat="false" ht="15" hidden="false" customHeight="false" outlineLevel="0" collapsed="false">
      <c r="A83" s="11" t="s">
        <v>136</v>
      </c>
      <c r="B83" s="12" t="n">
        <v>149</v>
      </c>
      <c r="C83" s="11" t="s">
        <v>27</v>
      </c>
    </row>
    <row r="84" customFormat="false" ht="15" hidden="false" customHeight="false" outlineLevel="0" collapsed="false">
      <c r="A84" s="11" t="s">
        <v>137</v>
      </c>
      <c r="B84" s="18" t="n">
        <v>0.1</v>
      </c>
      <c r="C84" s="11" t="s">
        <v>138</v>
      </c>
    </row>
  </sheetData>
  <dataValidations count="2">
    <dataValidation allowBlank="false" errorStyle="stop" operator="between" showDropDown="false" showErrorMessage="false" showInputMessage="false" sqref="A7:A26 A31:A43 A48:A56" type="list">
      <formula1>"Ja,Nein"</formula1>
      <formula2>0</formula2>
    </dataValidation>
    <dataValidation allowBlank="false" errorStyle="stop" operator="between" showDropDown="false" showErrorMessage="false" showInputMessage="false" sqref="E7:E26 E31:E43" type="list">
      <formula1>"Standard,Premium"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8" t="s">
        <v>46</v>
      </c>
    </row>
    <row r="2" customFormat="false" ht="15" hidden="false" customHeight="false" outlineLevel="0" collapsed="false">
      <c r="A2" s="9" t="s">
        <v>54</v>
      </c>
    </row>
    <row r="4" customFormat="false" ht="15" hidden="false" customHeight="false" outlineLevel="0" collapsed="false">
      <c r="A4" s="15" t="s">
        <v>139</v>
      </c>
    </row>
    <row r="5" customFormat="false" ht="15" hidden="false" customHeight="false" outlineLevel="0" collapsed="false">
      <c r="A5" s="9" t="s">
        <v>140</v>
      </c>
    </row>
    <row r="6" customFormat="false" ht="15" hidden="false" customHeight="false" outlineLevel="0" collapsed="false">
      <c r="A6" s="10" t="s">
        <v>57</v>
      </c>
      <c r="B6" s="10" t="s">
        <v>58</v>
      </c>
      <c r="C6" s="10" t="s">
        <v>59</v>
      </c>
      <c r="D6" s="10" t="s">
        <v>60</v>
      </c>
      <c r="E6" s="10" t="s">
        <v>62</v>
      </c>
      <c r="F6" s="10" t="s">
        <v>63</v>
      </c>
    </row>
    <row r="7" customFormat="false" ht="15" hidden="false" customHeight="false" outlineLevel="0" collapsed="false">
      <c r="A7" s="17" t="s">
        <v>47</v>
      </c>
      <c r="B7" s="17" t="s">
        <v>141</v>
      </c>
      <c r="C7" s="17" t="s">
        <v>142</v>
      </c>
      <c r="D7" s="18" t="n">
        <v>6</v>
      </c>
      <c r="E7" s="12" t="n">
        <v>8900</v>
      </c>
      <c r="F7" s="19" t="n">
        <f aca="false">E7*(1+Allgemein!$B$8)</f>
        <v>10591</v>
      </c>
    </row>
    <row r="8" customFormat="false" ht="15" hidden="false" customHeight="false" outlineLevel="0" collapsed="false">
      <c r="A8" s="17" t="s">
        <v>47</v>
      </c>
      <c r="B8" s="17" t="s">
        <v>141</v>
      </c>
      <c r="C8" s="17" t="s">
        <v>143</v>
      </c>
      <c r="D8" s="18" t="n">
        <v>9</v>
      </c>
      <c r="E8" s="12" t="n">
        <v>10400</v>
      </c>
      <c r="F8" s="19" t="n">
        <f aca="false">E8*(1+Allgemein!$B$8)</f>
        <v>12376</v>
      </c>
    </row>
    <row r="9" customFormat="false" ht="15" hidden="false" customHeight="false" outlineLevel="0" collapsed="false">
      <c r="A9" s="17" t="s">
        <v>47</v>
      </c>
      <c r="B9" s="17" t="s">
        <v>141</v>
      </c>
      <c r="C9" s="17" t="s">
        <v>144</v>
      </c>
      <c r="D9" s="18" t="n">
        <v>12</v>
      </c>
      <c r="E9" s="12" t="n">
        <v>11900</v>
      </c>
      <c r="F9" s="19" t="n">
        <f aca="false">E9*(1+Allgemein!$B$8)</f>
        <v>14161</v>
      </c>
    </row>
    <row r="10" customFormat="false" ht="15" hidden="false" customHeight="false" outlineLevel="0" collapsed="false">
      <c r="A10" s="17" t="s">
        <v>47</v>
      </c>
      <c r="B10" s="17" t="s">
        <v>141</v>
      </c>
      <c r="C10" s="17" t="s">
        <v>145</v>
      </c>
      <c r="D10" s="18" t="n">
        <v>16</v>
      </c>
      <c r="E10" s="12" t="n">
        <v>13400</v>
      </c>
      <c r="F10" s="19" t="n">
        <f aca="false">E10*(1+Allgemein!$B$8)</f>
        <v>15946</v>
      </c>
    </row>
    <row r="11" customFormat="false" ht="15" hidden="false" customHeight="false" outlineLevel="0" collapsed="false">
      <c r="A11" s="17" t="s">
        <v>47</v>
      </c>
      <c r="B11" s="17" t="s">
        <v>141</v>
      </c>
      <c r="C11" s="17" t="s">
        <v>146</v>
      </c>
      <c r="D11" s="18" t="n">
        <v>18</v>
      </c>
      <c r="E11" s="12" t="n">
        <v>14900</v>
      </c>
      <c r="F11" s="19" t="n">
        <f aca="false">E11*(1+Allgemein!$B$8)</f>
        <v>17731</v>
      </c>
    </row>
    <row r="12" customFormat="false" ht="15" hidden="false" customHeight="false" outlineLevel="0" collapsed="false">
      <c r="A12" s="9" t="s">
        <v>89</v>
      </c>
    </row>
    <row r="14" customFormat="false" ht="15" hidden="false" customHeight="false" outlineLevel="0" collapsed="false">
      <c r="A14" s="15" t="s">
        <v>115</v>
      </c>
    </row>
    <row r="15" customFormat="false" ht="15" hidden="false" customHeight="false" outlineLevel="0" collapsed="false">
      <c r="A15" s="10" t="s">
        <v>116</v>
      </c>
      <c r="B15" s="10" t="s">
        <v>24</v>
      </c>
      <c r="C15" s="10" t="s">
        <v>25</v>
      </c>
      <c r="D15" s="10" t="s">
        <v>117</v>
      </c>
      <c r="E15" s="10" t="s">
        <v>118</v>
      </c>
    </row>
    <row r="16" customFormat="false" ht="15" hidden="false" customHeight="false" outlineLevel="0" collapsed="false">
      <c r="A16" s="11" t="s">
        <v>147</v>
      </c>
      <c r="B16" s="18" t="n">
        <v>30</v>
      </c>
      <c r="C16" s="11" t="s">
        <v>120</v>
      </c>
      <c r="D16" s="19" t="n">
        <f aca="false">B16*Allgemein!$B$6</f>
        <v>2040</v>
      </c>
      <c r="E16" s="19" t="n">
        <f aca="false">D16*(1+Allgemein!$B$8)</f>
        <v>2427.6</v>
      </c>
    </row>
    <row r="17" customFormat="false" ht="15" hidden="false" customHeight="false" outlineLevel="0" collapsed="false">
      <c r="A17" s="11" t="s">
        <v>148</v>
      </c>
      <c r="B17" s="18" t="n">
        <v>12</v>
      </c>
      <c r="C17" s="11" t="s">
        <v>120</v>
      </c>
      <c r="D17" s="19" t="n">
        <f aca="false">B17*Allgemein!$B$6</f>
        <v>816</v>
      </c>
      <c r="E17" s="19" t="n">
        <f aca="false">D17*(1+Allgemein!$B$8)</f>
        <v>971.04</v>
      </c>
    </row>
    <row r="18" customFormat="false" ht="15" hidden="false" customHeight="false" outlineLevel="0" collapsed="false">
      <c r="A18" s="11" t="s">
        <v>149</v>
      </c>
      <c r="B18" s="18" t="n">
        <v>6</v>
      </c>
      <c r="C18" s="11" t="s">
        <v>120</v>
      </c>
      <c r="D18" s="19" t="n">
        <f aca="false">B18*Allgemein!$B$6</f>
        <v>408</v>
      </c>
      <c r="E18" s="19" t="n">
        <f aca="false">D18*(1+Allgemein!$B$8)</f>
        <v>485.52</v>
      </c>
    </row>
    <row r="19" customFormat="false" ht="15" hidden="false" customHeight="false" outlineLevel="0" collapsed="false">
      <c r="A19" s="11" t="s">
        <v>150</v>
      </c>
      <c r="B19" s="18" t="n">
        <v>10</v>
      </c>
      <c r="C19" s="11" t="s">
        <v>120</v>
      </c>
      <c r="D19" s="19" t="n">
        <f aca="false">B19*Allgemein!$B$6</f>
        <v>680</v>
      </c>
      <c r="E19" s="19" t="n">
        <f aca="false">D19*(1+Allgemein!$B$8)</f>
        <v>809.2</v>
      </c>
    </row>
    <row r="20" customFormat="false" ht="15" hidden="false" customHeight="false" outlineLevel="0" collapsed="false">
      <c r="A20" s="11" t="s">
        <v>151</v>
      </c>
      <c r="B20" s="18" t="n">
        <v>2.5</v>
      </c>
      <c r="C20" s="11" t="s">
        <v>120</v>
      </c>
      <c r="D20" s="19" t="n">
        <f aca="false">B20*Allgemein!$B$6</f>
        <v>170</v>
      </c>
      <c r="E20" s="19" t="n">
        <f aca="false">D20*(1+Allgemein!$B$8)</f>
        <v>202.3</v>
      </c>
    </row>
    <row r="21" customFormat="false" ht="15" hidden="false" customHeight="false" outlineLevel="0" collapsed="false">
      <c r="A21" s="11" t="s">
        <v>152</v>
      </c>
      <c r="B21" s="18" t="n">
        <v>6</v>
      </c>
      <c r="C21" s="11" t="s">
        <v>120</v>
      </c>
      <c r="D21" s="19" t="n">
        <f aca="false">B21*Allgemein!$B$6</f>
        <v>408</v>
      </c>
      <c r="E21" s="19" t="n">
        <f aca="false">D21*(1+Allgemein!$B$8)</f>
        <v>485.52</v>
      </c>
    </row>
    <row r="23" customFormat="false" ht="15" hidden="false" customHeight="false" outlineLevel="0" collapsed="false">
      <c r="A23" s="15" t="s">
        <v>128</v>
      </c>
    </row>
    <row r="24" customFormat="false" ht="15" hidden="false" customHeight="false" outlineLevel="0" collapsed="false">
      <c r="A24" s="10" t="s">
        <v>116</v>
      </c>
      <c r="B24" s="10" t="s">
        <v>24</v>
      </c>
      <c r="C24" s="10" t="s">
        <v>25</v>
      </c>
      <c r="D24" s="10" t="s">
        <v>117</v>
      </c>
      <c r="E24" s="10" t="s">
        <v>118</v>
      </c>
    </row>
    <row r="25" customFormat="false" ht="15" hidden="false" customHeight="false" outlineLevel="0" collapsed="false">
      <c r="A25" s="11" t="s">
        <v>153</v>
      </c>
      <c r="B25" s="12" t="n">
        <v>4200</v>
      </c>
      <c r="C25" s="11" t="s">
        <v>27</v>
      </c>
      <c r="E25" s="19" t="n">
        <f aca="false">B25*(1+Allgemein!$B$8)</f>
        <v>4998</v>
      </c>
    </row>
    <row r="26" customFormat="false" ht="15" hidden="false" customHeight="false" outlineLevel="0" collapsed="false">
      <c r="A26" s="11" t="s">
        <v>154</v>
      </c>
      <c r="B26" s="12" t="n">
        <v>900</v>
      </c>
      <c r="C26" s="11" t="s">
        <v>27</v>
      </c>
      <c r="E26" s="19" t="n">
        <f aca="false">B26*(1+Allgemein!$B$8)</f>
        <v>1071</v>
      </c>
    </row>
    <row r="27" customFormat="false" ht="15" hidden="false" customHeight="false" outlineLevel="0" collapsed="false">
      <c r="A27" s="11" t="s">
        <v>155</v>
      </c>
      <c r="B27" s="12" t="n">
        <v>150</v>
      </c>
      <c r="C27" s="11" t="s">
        <v>27</v>
      </c>
      <c r="E27" s="19" t="n">
        <f aca="false">B27*(1+Allgemein!$B$8)</f>
        <v>178.5</v>
      </c>
    </row>
    <row r="28" customFormat="false" ht="15" hidden="false" customHeight="false" outlineLevel="0" collapsed="false">
      <c r="A28" s="11" t="s">
        <v>156</v>
      </c>
      <c r="B28" s="12" t="n">
        <v>350</v>
      </c>
      <c r="C28" s="11" t="s">
        <v>27</v>
      </c>
      <c r="E28" s="19" t="n">
        <f aca="false">B28*(1+Allgemein!$B$8)</f>
        <v>416.5</v>
      </c>
    </row>
    <row r="29" customFormat="false" ht="15" hidden="false" customHeight="false" outlineLevel="0" collapsed="false">
      <c r="A29" s="11" t="s">
        <v>157</v>
      </c>
      <c r="B29" s="12" t="n">
        <v>380</v>
      </c>
      <c r="C29" s="11" t="s">
        <v>27</v>
      </c>
      <c r="E29" s="19" t="n">
        <f aca="false">B29*(1+Allgemein!$B$8)</f>
        <v>452.2</v>
      </c>
    </row>
    <row r="30" customFormat="false" ht="15" hidden="false" customHeight="false" outlineLevel="0" collapsed="false">
      <c r="A30" s="11" t="s">
        <v>158</v>
      </c>
      <c r="B30" s="12" t="n">
        <v>650</v>
      </c>
      <c r="C30" s="11" t="s">
        <v>27</v>
      </c>
      <c r="E30" s="19" t="n">
        <f aca="false">B30*(1+Allgemein!$B$8)</f>
        <v>773.5</v>
      </c>
    </row>
    <row r="32" customFormat="false" ht="15" hidden="false" customHeight="false" outlineLevel="0" collapsed="false">
      <c r="A32" s="15" t="s">
        <v>159</v>
      </c>
    </row>
    <row r="33" customFormat="false" ht="15" hidden="false" customHeight="false" outlineLevel="0" collapsed="false">
      <c r="A33" s="10" t="s">
        <v>116</v>
      </c>
      <c r="B33" s="10" t="s">
        <v>24</v>
      </c>
      <c r="C33" s="10" t="s">
        <v>25</v>
      </c>
      <c r="D33" s="10" t="s">
        <v>117</v>
      </c>
      <c r="E33" s="10" t="s">
        <v>118</v>
      </c>
    </row>
    <row r="34" customFormat="false" ht="15" hidden="false" customHeight="false" outlineLevel="0" collapsed="false">
      <c r="A34" s="11" t="s">
        <v>160</v>
      </c>
      <c r="B34" s="18" t="n">
        <v>0.25</v>
      </c>
      <c r="C34" s="11" t="s">
        <v>138</v>
      </c>
    </row>
  </sheetData>
  <dataValidations count="1">
    <dataValidation allowBlank="false" errorStyle="stop" operator="between" showDropDown="false" showErrorMessage="false" showInputMessage="false" sqref="A7:A11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8" t="s">
        <v>48</v>
      </c>
    </row>
    <row r="2" customFormat="false" ht="15" hidden="false" customHeight="false" outlineLevel="0" collapsed="false">
      <c r="A2" s="9" t="s">
        <v>54</v>
      </c>
    </row>
    <row r="4" customFormat="false" ht="15" hidden="false" customHeight="false" outlineLevel="0" collapsed="false">
      <c r="A4" s="15" t="s">
        <v>161</v>
      </c>
    </row>
    <row r="5" customFormat="false" ht="15" hidden="false" customHeight="false" outlineLevel="0" collapsed="false">
      <c r="A5" s="9" t="s">
        <v>162</v>
      </c>
    </row>
    <row r="6" customFormat="false" ht="15" hidden="false" customHeight="false" outlineLevel="0" collapsed="false">
      <c r="A6" s="10" t="s">
        <v>57</v>
      </c>
      <c r="B6" s="10" t="s">
        <v>58</v>
      </c>
      <c r="C6" s="10" t="s">
        <v>59</v>
      </c>
      <c r="D6" s="10" t="s">
        <v>163</v>
      </c>
      <c r="E6" s="10" t="s">
        <v>164</v>
      </c>
      <c r="F6" s="10" t="s">
        <v>63</v>
      </c>
    </row>
    <row r="7" customFormat="false" ht="15" hidden="false" customHeight="false" outlineLevel="0" collapsed="false">
      <c r="A7" s="17" t="s">
        <v>47</v>
      </c>
      <c r="B7" s="17" t="s">
        <v>165</v>
      </c>
      <c r="C7" s="17" t="s">
        <v>166</v>
      </c>
      <c r="D7" s="18" t="n">
        <v>450</v>
      </c>
      <c r="E7" s="12" t="n">
        <v>118</v>
      </c>
      <c r="F7" s="19" t="n">
        <f aca="false">E7*(1+Allgemein!$B$8)</f>
        <v>140.42</v>
      </c>
    </row>
    <row r="8" customFormat="false" ht="15" hidden="false" customHeight="false" outlineLevel="0" collapsed="false">
      <c r="A8" s="17" t="s">
        <v>47</v>
      </c>
      <c r="B8" s="17" t="s">
        <v>167</v>
      </c>
      <c r="C8" s="17" t="s">
        <v>168</v>
      </c>
      <c r="D8" s="18" t="n">
        <v>400</v>
      </c>
      <c r="E8" s="12" t="n">
        <v>175</v>
      </c>
      <c r="F8" s="19" t="n">
        <f aca="false">E8*(1+Allgemein!$B$8)</f>
        <v>208.25</v>
      </c>
    </row>
    <row r="9" customFormat="false" ht="15" hidden="false" customHeight="false" outlineLevel="0" collapsed="false">
      <c r="A9" s="9" t="s">
        <v>89</v>
      </c>
    </row>
    <row r="11" customFormat="false" ht="15" hidden="false" customHeight="false" outlineLevel="0" collapsed="false">
      <c r="A11" s="15" t="s">
        <v>169</v>
      </c>
    </row>
    <row r="12" customFormat="false" ht="15" hidden="false" customHeight="false" outlineLevel="0" collapsed="false">
      <c r="A12" s="9" t="s">
        <v>170</v>
      </c>
    </row>
    <row r="13" customFormat="false" ht="15" hidden="false" customHeight="false" outlineLevel="0" collapsed="false">
      <c r="A13" s="10" t="s">
        <v>57</v>
      </c>
      <c r="B13" s="10" t="s">
        <v>58</v>
      </c>
      <c r="C13" s="10" t="s">
        <v>59</v>
      </c>
      <c r="D13" s="10" t="s">
        <v>60</v>
      </c>
      <c r="E13" s="10" t="s">
        <v>62</v>
      </c>
      <c r="F13" s="10" t="s">
        <v>63</v>
      </c>
    </row>
    <row r="14" customFormat="false" ht="15" hidden="false" customHeight="false" outlineLevel="0" collapsed="false">
      <c r="A14" s="17" t="s">
        <v>47</v>
      </c>
      <c r="B14" s="17" t="s">
        <v>171</v>
      </c>
      <c r="C14" s="17" t="s">
        <v>172</v>
      </c>
      <c r="D14" s="18" t="n">
        <v>4</v>
      </c>
      <c r="E14" s="12" t="n">
        <v>1750</v>
      </c>
      <c r="F14" s="19" t="n">
        <f aca="false">E14*(1+Allgemein!$B$8)</f>
        <v>2082.5</v>
      </c>
    </row>
    <row r="15" customFormat="false" ht="15" hidden="false" customHeight="false" outlineLevel="0" collapsed="false">
      <c r="A15" s="17" t="s">
        <v>47</v>
      </c>
      <c r="B15" s="17" t="s">
        <v>171</v>
      </c>
      <c r="C15" s="17" t="s">
        <v>173</v>
      </c>
      <c r="D15" s="18" t="n">
        <v>6</v>
      </c>
      <c r="E15" s="12" t="n">
        <v>2050</v>
      </c>
      <c r="F15" s="19" t="n">
        <f aca="false">E15*(1+Allgemein!$B$8)</f>
        <v>2439.5</v>
      </c>
    </row>
    <row r="16" customFormat="false" ht="15" hidden="false" customHeight="false" outlineLevel="0" collapsed="false">
      <c r="A16" s="17" t="s">
        <v>47</v>
      </c>
      <c r="B16" s="17" t="s">
        <v>171</v>
      </c>
      <c r="C16" s="17" t="s">
        <v>174</v>
      </c>
      <c r="D16" s="18" t="n">
        <v>8</v>
      </c>
      <c r="E16" s="12" t="n">
        <v>2550</v>
      </c>
      <c r="F16" s="19" t="n">
        <f aca="false">E16*(1+Allgemein!$B$8)</f>
        <v>3034.5</v>
      </c>
    </row>
    <row r="17" customFormat="false" ht="15" hidden="false" customHeight="false" outlineLevel="0" collapsed="false">
      <c r="A17" s="17" t="s">
        <v>47</v>
      </c>
      <c r="B17" s="17" t="s">
        <v>171</v>
      </c>
      <c r="C17" s="17" t="s">
        <v>175</v>
      </c>
      <c r="D17" s="18" t="n">
        <v>10</v>
      </c>
      <c r="E17" s="12" t="n">
        <v>2850</v>
      </c>
      <c r="F17" s="19" t="n">
        <f aca="false">E17*(1+Allgemein!$B$8)</f>
        <v>3391.5</v>
      </c>
    </row>
    <row r="18" customFormat="false" ht="15" hidden="false" customHeight="false" outlineLevel="0" collapsed="false">
      <c r="A18" s="17" t="s">
        <v>47</v>
      </c>
      <c r="B18" s="17" t="s">
        <v>171</v>
      </c>
      <c r="C18" s="17" t="s">
        <v>176</v>
      </c>
      <c r="D18" s="18" t="n">
        <v>15</v>
      </c>
      <c r="E18" s="12" t="n">
        <v>3600</v>
      </c>
      <c r="F18" s="19" t="n">
        <f aca="false">E18*(1+Allgemein!$B$8)</f>
        <v>4284</v>
      </c>
    </row>
    <row r="19" customFormat="false" ht="15" hidden="false" customHeight="false" outlineLevel="0" collapsed="false">
      <c r="A19" s="9" t="s">
        <v>89</v>
      </c>
    </row>
    <row r="21" customFormat="false" ht="15" hidden="false" customHeight="false" outlineLevel="0" collapsed="false">
      <c r="A21" s="15" t="s">
        <v>177</v>
      </c>
    </row>
    <row r="22" customFormat="false" ht="15" hidden="false" customHeight="false" outlineLevel="0" collapsed="false">
      <c r="A22" s="9" t="s">
        <v>178</v>
      </c>
    </row>
    <row r="23" customFormat="false" ht="15" hidden="false" customHeight="false" outlineLevel="0" collapsed="false">
      <c r="A23" s="10" t="s">
        <v>57</v>
      </c>
      <c r="B23" s="10" t="s">
        <v>58</v>
      </c>
      <c r="C23" s="10" t="s">
        <v>59</v>
      </c>
      <c r="D23" s="10" t="s">
        <v>179</v>
      </c>
      <c r="E23" s="10" t="s">
        <v>62</v>
      </c>
      <c r="F23" s="10" t="s">
        <v>63</v>
      </c>
    </row>
    <row r="24" customFormat="false" ht="15" hidden="false" customHeight="false" outlineLevel="0" collapsed="false">
      <c r="A24" s="17" t="s">
        <v>47</v>
      </c>
      <c r="B24" s="17" t="s">
        <v>180</v>
      </c>
      <c r="C24" s="17" t="s">
        <v>181</v>
      </c>
      <c r="D24" s="18" t="n">
        <v>5.1</v>
      </c>
      <c r="E24" s="12" t="n">
        <v>2950</v>
      </c>
      <c r="F24" s="19" t="n">
        <f aca="false">E24*(1+Allgemein!$B$8)</f>
        <v>3510.5</v>
      </c>
    </row>
    <row r="25" customFormat="false" ht="15" hidden="false" customHeight="false" outlineLevel="0" collapsed="false">
      <c r="A25" s="17" t="s">
        <v>47</v>
      </c>
      <c r="B25" s="17" t="s">
        <v>180</v>
      </c>
      <c r="C25" s="17" t="s">
        <v>182</v>
      </c>
      <c r="D25" s="18" t="n">
        <v>7.7</v>
      </c>
      <c r="E25" s="12" t="n">
        <v>4050</v>
      </c>
      <c r="F25" s="19" t="n">
        <f aca="false">E25*(1+Allgemein!$B$8)</f>
        <v>4819.5</v>
      </c>
    </row>
    <row r="26" customFormat="false" ht="15" hidden="false" customHeight="false" outlineLevel="0" collapsed="false">
      <c r="A26" s="17" t="s">
        <v>47</v>
      </c>
      <c r="B26" s="17" t="s">
        <v>180</v>
      </c>
      <c r="C26" s="17" t="s">
        <v>183</v>
      </c>
      <c r="D26" s="18" t="n">
        <v>10.2</v>
      </c>
      <c r="E26" s="12" t="n">
        <v>5150</v>
      </c>
      <c r="F26" s="19" t="n">
        <f aca="false">E26*(1+Allgemein!$B$8)</f>
        <v>6128.5</v>
      </c>
    </row>
    <row r="27" customFormat="false" ht="15" hidden="false" customHeight="false" outlineLevel="0" collapsed="false">
      <c r="A27" s="9" t="s">
        <v>89</v>
      </c>
    </row>
    <row r="29" customFormat="false" ht="15" hidden="false" customHeight="false" outlineLevel="0" collapsed="false">
      <c r="A29" s="15" t="s">
        <v>184</v>
      </c>
    </row>
    <row r="30" customFormat="false" ht="15" hidden="false" customHeight="false" outlineLevel="0" collapsed="false">
      <c r="A30" s="9" t="s">
        <v>185</v>
      </c>
    </row>
    <row r="31" customFormat="false" ht="15" hidden="false" customHeight="false" outlineLevel="0" collapsed="false">
      <c r="A31" s="10" t="s">
        <v>116</v>
      </c>
      <c r="B31" s="10" t="s">
        <v>24</v>
      </c>
      <c r="C31" s="10" t="s">
        <v>25</v>
      </c>
      <c r="D31" s="10" t="s">
        <v>117</v>
      </c>
      <c r="E31" s="10" t="s">
        <v>118</v>
      </c>
    </row>
    <row r="32" customFormat="false" ht="15" hidden="false" customHeight="false" outlineLevel="0" collapsed="false">
      <c r="A32" s="11" t="s">
        <v>186</v>
      </c>
      <c r="B32" s="18" t="n">
        <v>5</v>
      </c>
      <c r="C32" s="11" t="s">
        <v>120</v>
      </c>
      <c r="D32" s="19" t="n">
        <f aca="false">B32*Allgemein!$B$6</f>
        <v>340</v>
      </c>
      <c r="E32" s="19" t="n">
        <f aca="false">D32*(1+Allgemein!$B$8)</f>
        <v>404.6</v>
      </c>
    </row>
    <row r="34" customFormat="false" ht="15" hidden="false" customHeight="false" outlineLevel="0" collapsed="false">
      <c r="A34" s="15" t="s">
        <v>115</v>
      </c>
    </row>
    <row r="35" customFormat="false" ht="15" hidden="false" customHeight="false" outlineLevel="0" collapsed="false">
      <c r="A35" s="10" t="s">
        <v>116</v>
      </c>
      <c r="B35" s="10" t="s">
        <v>24</v>
      </c>
      <c r="C35" s="10" t="s">
        <v>25</v>
      </c>
      <c r="D35" s="10" t="s">
        <v>117</v>
      </c>
      <c r="E35" s="10" t="s">
        <v>118</v>
      </c>
    </row>
    <row r="36" customFormat="false" ht="15" hidden="false" customHeight="false" outlineLevel="0" collapsed="false">
      <c r="A36" s="11" t="s">
        <v>187</v>
      </c>
      <c r="B36" s="18" t="n">
        <v>8</v>
      </c>
      <c r="C36" s="11" t="s">
        <v>120</v>
      </c>
      <c r="D36" s="19" t="n">
        <f aca="false">B36*Allgemein!$B$6</f>
        <v>544</v>
      </c>
      <c r="E36" s="19" t="n">
        <f aca="false">D36*(1+Allgemein!$B$8)</f>
        <v>647.36</v>
      </c>
    </row>
    <row r="37" customFormat="false" ht="15" hidden="false" customHeight="false" outlineLevel="0" collapsed="false">
      <c r="A37" s="11" t="s">
        <v>188</v>
      </c>
      <c r="B37" s="18" t="n">
        <v>0.6</v>
      </c>
      <c r="C37" s="11" t="s">
        <v>120</v>
      </c>
      <c r="D37" s="19" t="n">
        <f aca="false">B37*Allgemein!$B$6</f>
        <v>40.8</v>
      </c>
      <c r="E37" s="19" t="n">
        <f aca="false">D37*(1+Allgemein!$B$8)</f>
        <v>48.552</v>
      </c>
    </row>
    <row r="38" customFormat="false" ht="15" hidden="false" customHeight="false" outlineLevel="0" collapsed="false">
      <c r="A38" s="11" t="s">
        <v>189</v>
      </c>
      <c r="B38" s="18" t="n">
        <v>4</v>
      </c>
      <c r="C38" s="11" t="s">
        <v>120</v>
      </c>
      <c r="D38" s="19" t="n">
        <f aca="false">B38*Allgemein!$B$6</f>
        <v>272</v>
      </c>
      <c r="E38" s="19" t="n">
        <f aca="false">D38*(1+Allgemein!$B$8)</f>
        <v>323.68</v>
      </c>
    </row>
    <row r="39" customFormat="false" ht="15" hidden="false" customHeight="false" outlineLevel="0" collapsed="false">
      <c r="A39" s="11" t="s">
        <v>190</v>
      </c>
      <c r="B39" s="18" t="n">
        <v>4</v>
      </c>
      <c r="C39" s="11" t="s">
        <v>120</v>
      </c>
      <c r="D39" s="19" t="n">
        <f aca="false">B39*Allgemein!$B$6</f>
        <v>272</v>
      </c>
      <c r="E39" s="19" t="n">
        <f aca="false">D39*(1+Allgemein!$B$8)</f>
        <v>323.68</v>
      </c>
    </row>
    <row r="41" customFormat="false" ht="15" hidden="false" customHeight="false" outlineLevel="0" collapsed="false">
      <c r="A41" s="15" t="s">
        <v>128</v>
      </c>
    </row>
    <row r="42" customFormat="false" ht="15" hidden="false" customHeight="false" outlineLevel="0" collapsed="false">
      <c r="A42" s="10" t="s">
        <v>116</v>
      </c>
      <c r="B42" s="10" t="s">
        <v>24</v>
      </c>
      <c r="C42" s="10" t="s">
        <v>25</v>
      </c>
      <c r="D42" s="10" t="s">
        <v>117</v>
      </c>
      <c r="E42" s="10" t="s">
        <v>118</v>
      </c>
    </row>
    <row r="43" customFormat="false" ht="15" hidden="false" customHeight="false" outlineLevel="0" collapsed="false">
      <c r="A43" s="11" t="s">
        <v>191</v>
      </c>
      <c r="B43" s="12" t="n">
        <v>48</v>
      </c>
      <c r="C43" s="11" t="s">
        <v>27</v>
      </c>
      <c r="E43" s="19" t="n">
        <f aca="false">B43*(1+Allgemein!$B$8)</f>
        <v>57.12</v>
      </c>
    </row>
    <row r="44" customFormat="false" ht="15" hidden="false" customHeight="false" outlineLevel="0" collapsed="false">
      <c r="A44" s="11" t="s">
        <v>192</v>
      </c>
      <c r="B44" s="12" t="n">
        <v>480</v>
      </c>
      <c r="C44" s="11" t="s">
        <v>27</v>
      </c>
      <c r="E44" s="19" t="n">
        <f aca="false">B44*(1+Allgemein!$B$8)</f>
        <v>571.2</v>
      </c>
    </row>
    <row r="45" customFormat="false" ht="15" hidden="false" customHeight="false" outlineLevel="0" collapsed="false">
      <c r="A45" s="11" t="s">
        <v>193</v>
      </c>
      <c r="B45" s="12" t="n">
        <v>650</v>
      </c>
      <c r="C45" s="11" t="s">
        <v>27</v>
      </c>
      <c r="E45" s="19" t="n">
        <f aca="false">B45*(1+Allgemein!$B$8)</f>
        <v>773.5</v>
      </c>
    </row>
    <row r="46" customFormat="false" ht="15" hidden="false" customHeight="false" outlineLevel="0" collapsed="false">
      <c r="A46" s="11" t="s">
        <v>194</v>
      </c>
      <c r="B46" s="12" t="n">
        <v>450</v>
      </c>
      <c r="C46" s="11" t="s">
        <v>27</v>
      </c>
      <c r="E46" s="19" t="n">
        <f aca="false">B46*(1+Allgemein!$B$8)</f>
        <v>535.5</v>
      </c>
    </row>
    <row r="47" customFormat="false" ht="15" hidden="false" customHeight="false" outlineLevel="0" collapsed="false">
      <c r="A47" s="11" t="s">
        <v>195</v>
      </c>
      <c r="B47" s="12" t="n">
        <v>250</v>
      </c>
      <c r="C47" s="11" t="s">
        <v>27</v>
      </c>
      <c r="E47" s="19" t="n">
        <f aca="false">B47*(1+Allgemein!$B$8)</f>
        <v>297.5</v>
      </c>
    </row>
    <row r="48" customFormat="false" ht="15" hidden="false" customHeight="false" outlineLevel="0" collapsed="false">
      <c r="A48" s="11" t="s">
        <v>196</v>
      </c>
      <c r="B48" s="12" t="n">
        <v>450</v>
      </c>
      <c r="C48" s="11" t="s">
        <v>27</v>
      </c>
      <c r="E48" s="19" t="n">
        <f aca="false">B48*(1+Allgemein!$B$8)</f>
        <v>535.5</v>
      </c>
    </row>
    <row r="50" customFormat="false" ht="15" hidden="false" customHeight="false" outlineLevel="0" collapsed="false">
      <c r="A50" s="15" t="s">
        <v>197</v>
      </c>
    </row>
    <row r="51" customFormat="false" ht="15" hidden="false" customHeight="false" outlineLevel="0" collapsed="false">
      <c r="A51" s="10" t="s">
        <v>116</v>
      </c>
      <c r="B51" s="10" t="s">
        <v>24</v>
      </c>
      <c r="C51" s="10" t="s">
        <v>25</v>
      </c>
      <c r="D51" s="10" t="s">
        <v>117</v>
      </c>
      <c r="E51" s="10" t="s">
        <v>118</v>
      </c>
    </row>
    <row r="52" customFormat="false" ht="15" hidden="false" customHeight="false" outlineLevel="0" collapsed="false">
      <c r="A52" s="11" t="s">
        <v>198</v>
      </c>
      <c r="B52" s="18" t="n">
        <v>950</v>
      </c>
      <c r="C52" s="11" t="s">
        <v>199</v>
      </c>
    </row>
    <row r="53" customFormat="false" ht="15" hidden="false" customHeight="false" outlineLevel="0" collapsed="false">
      <c r="A53" s="11" t="s">
        <v>200</v>
      </c>
      <c r="B53" s="20" t="n">
        <v>0.35</v>
      </c>
      <c r="C53" s="11" t="s">
        <v>201</v>
      </c>
    </row>
    <row r="54" customFormat="false" ht="15" hidden="false" customHeight="false" outlineLevel="0" collapsed="false">
      <c r="A54" s="11" t="s">
        <v>202</v>
      </c>
      <c r="B54" s="20" t="n">
        <v>0.077</v>
      </c>
      <c r="C54" s="11" t="s">
        <v>201</v>
      </c>
    </row>
  </sheetData>
  <dataValidations count="1">
    <dataValidation allowBlank="false" errorStyle="stop" operator="between" showDropDown="false" showErrorMessage="false" showInputMessage="false" sqref="A7:A8 A14:A18 A24:A26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8" t="s">
        <v>50</v>
      </c>
    </row>
    <row r="2" customFormat="false" ht="15" hidden="false" customHeight="false" outlineLevel="0" collapsed="false">
      <c r="A2" s="9" t="s">
        <v>54</v>
      </c>
    </row>
    <row r="4" customFormat="false" ht="15" hidden="false" customHeight="false" outlineLevel="0" collapsed="false">
      <c r="A4" s="15" t="s">
        <v>203</v>
      </c>
    </row>
    <row r="5" customFormat="false" ht="15" hidden="false" customHeight="false" outlineLevel="0" collapsed="false">
      <c r="A5" s="10" t="s">
        <v>116</v>
      </c>
      <c r="B5" s="10" t="s">
        <v>24</v>
      </c>
      <c r="C5" s="10" t="s">
        <v>25</v>
      </c>
      <c r="D5" s="10" t="s">
        <v>117</v>
      </c>
      <c r="E5" s="10" t="s">
        <v>118</v>
      </c>
    </row>
    <row r="6" customFormat="false" ht="15" hidden="false" customHeight="false" outlineLevel="0" collapsed="false">
      <c r="A6" s="11" t="s">
        <v>204</v>
      </c>
      <c r="B6" s="21" t="s">
        <v>205</v>
      </c>
      <c r="C6" s="11"/>
    </row>
    <row r="7" customFormat="false" ht="15" hidden="false" customHeight="false" outlineLevel="0" collapsed="false">
      <c r="A7" s="11" t="s">
        <v>206</v>
      </c>
      <c r="B7" s="12" t="n">
        <v>900</v>
      </c>
      <c r="C7" s="11" t="s">
        <v>27</v>
      </c>
      <c r="E7" s="19" t="n">
        <f aca="false">B7*(1+Allgemein!$B$8)</f>
        <v>1071</v>
      </c>
    </row>
    <row r="8" customFormat="false" ht="15" hidden="false" customHeight="false" outlineLevel="0" collapsed="false">
      <c r="A8" s="11" t="s">
        <v>207</v>
      </c>
      <c r="B8" s="18" t="n">
        <v>12</v>
      </c>
      <c r="C8" s="11" t="s">
        <v>120</v>
      </c>
      <c r="D8" s="19" t="n">
        <f aca="false">B8*Allgemein!$B$6</f>
        <v>816</v>
      </c>
      <c r="E8" s="19" t="n">
        <f aca="false">D8*(1+Allgemein!$B$8)</f>
        <v>971.04</v>
      </c>
    </row>
    <row r="9" customFormat="false" ht="15" hidden="false" customHeight="false" outlineLevel="0" collapsed="false">
      <c r="A9" s="11" t="s">
        <v>208</v>
      </c>
      <c r="B9" s="12" t="n">
        <v>160</v>
      </c>
      <c r="C9" s="11" t="s">
        <v>27</v>
      </c>
      <c r="E9" s="19" t="n">
        <f aca="false">B9*(1+Allgemein!$B$8)</f>
        <v>190.4</v>
      </c>
    </row>
    <row r="10" customFormat="false" ht="15" hidden="false" customHeight="false" outlineLevel="0" collapsed="false">
      <c r="A10" s="11" t="s">
        <v>209</v>
      </c>
      <c r="B10" s="18" t="n">
        <v>1.5</v>
      </c>
      <c r="C10" s="11" t="s">
        <v>120</v>
      </c>
      <c r="D10" s="19" t="n">
        <f aca="false">B10*Allgemein!$B$6</f>
        <v>102</v>
      </c>
      <c r="E10" s="19" t="n">
        <f aca="false">D10*(1+Allgemein!$B$8)</f>
        <v>121.38</v>
      </c>
    </row>
    <row r="11" customFormat="false" ht="15" hidden="false" customHeight="false" outlineLevel="0" collapsed="false">
      <c r="A11" s="11" t="s">
        <v>210</v>
      </c>
      <c r="B11" s="12" t="n">
        <v>120</v>
      </c>
      <c r="C11" s="11" t="s">
        <v>27</v>
      </c>
      <c r="E11" s="19" t="n">
        <f aca="false">B11*(1+Allgemein!$B$8)</f>
        <v>142.8</v>
      </c>
    </row>
    <row r="12" customFormat="false" ht="15" hidden="false" customHeight="false" outlineLevel="0" collapsed="false">
      <c r="A12" s="11" t="s">
        <v>211</v>
      </c>
      <c r="B12" s="18" t="n">
        <v>1</v>
      </c>
      <c r="C12" s="11" t="s">
        <v>120</v>
      </c>
      <c r="D12" s="19" t="n">
        <f aca="false">B12*Allgemein!$B$6</f>
        <v>68</v>
      </c>
      <c r="E12" s="19" t="n">
        <f aca="false">D12*(1+Allgemein!$B$8)</f>
        <v>80.92</v>
      </c>
    </row>
    <row r="13" customFormat="false" ht="15" hidden="false" customHeight="false" outlineLevel="0" collapsed="false">
      <c r="A13" s="11" t="s">
        <v>212</v>
      </c>
      <c r="B13" s="12" t="n">
        <v>140</v>
      </c>
      <c r="C13" s="11" t="s">
        <v>27</v>
      </c>
      <c r="E13" s="19" t="n">
        <f aca="false">B13*(1+Allgemein!$B$8)</f>
        <v>166.6</v>
      </c>
    </row>
    <row r="14" customFormat="false" ht="15" hidden="false" customHeight="false" outlineLevel="0" collapsed="false">
      <c r="A14" s="11" t="s">
        <v>213</v>
      </c>
      <c r="B14" s="18" t="n">
        <v>1.5</v>
      </c>
      <c r="C14" s="11" t="s">
        <v>120</v>
      </c>
      <c r="D14" s="19" t="n">
        <f aca="false">B14*Allgemein!$B$6</f>
        <v>102</v>
      </c>
      <c r="E14" s="19" t="n">
        <f aca="false">D14*(1+Allgemein!$B$8)</f>
        <v>121.38</v>
      </c>
    </row>
    <row r="15" customFormat="false" ht="15" hidden="false" customHeight="false" outlineLevel="0" collapsed="false">
      <c r="A15" s="11" t="s">
        <v>214</v>
      </c>
      <c r="B15" s="12" t="n">
        <v>600</v>
      </c>
      <c r="C15" s="11" t="s">
        <v>27</v>
      </c>
      <c r="E15" s="19" t="n">
        <f aca="false">B15*(1+Allgemein!$B$8)</f>
        <v>714</v>
      </c>
    </row>
    <row r="16" customFormat="false" ht="15" hidden="false" customHeight="false" outlineLevel="0" collapsed="false">
      <c r="A16" s="11" t="s">
        <v>215</v>
      </c>
      <c r="B16" s="18" t="n">
        <v>5</v>
      </c>
      <c r="C16" s="11" t="s">
        <v>120</v>
      </c>
      <c r="D16" s="19" t="n">
        <f aca="false">B16*Allgemein!$B$6</f>
        <v>340</v>
      </c>
      <c r="E16" s="19" t="n">
        <f aca="false">D16*(1+Allgemein!$B$8)</f>
        <v>404.6</v>
      </c>
    </row>
    <row r="18" customFormat="false" ht="15" hidden="false" customHeight="false" outlineLevel="0" collapsed="false">
      <c r="A18" s="15" t="s">
        <v>216</v>
      </c>
    </row>
    <row r="19" customFormat="false" ht="15" hidden="false" customHeight="false" outlineLevel="0" collapsed="false">
      <c r="A19" s="10" t="s">
        <v>116</v>
      </c>
      <c r="B19" s="10" t="s">
        <v>24</v>
      </c>
      <c r="C19" s="10" t="s">
        <v>25</v>
      </c>
      <c r="D19" s="10" t="s">
        <v>117</v>
      </c>
      <c r="E19" s="10" t="s">
        <v>118</v>
      </c>
    </row>
    <row r="20" customFormat="false" ht="15" hidden="false" customHeight="false" outlineLevel="0" collapsed="false">
      <c r="A20" s="11" t="s">
        <v>204</v>
      </c>
      <c r="B20" s="21" t="s">
        <v>217</v>
      </c>
      <c r="C20" s="11"/>
    </row>
    <row r="21" customFormat="false" ht="15" hidden="false" customHeight="false" outlineLevel="0" collapsed="false">
      <c r="A21" s="11" t="s">
        <v>206</v>
      </c>
      <c r="B21" s="12" t="n">
        <v>180</v>
      </c>
      <c r="C21" s="11" t="s">
        <v>27</v>
      </c>
      <c r="E21" s="19" t="n">
        <f aca="false">B21*(1+Allgemein!$B$8)</f>
        <v>214.2</v>
      </c>
    </row>
    <row r="22" customFormat="false" ht="15" hidden="false" customHeight="false" outlineLevel="0" collapsed="false">
      <c r="A22" s="11" t="s">
        <v>207</v>
      </c>
      <c r="B22" s="18" t="n">
        <v>3</v>
      </c>
      <c r="C22" s="11" t="s">
        <v>120</v>
      </c>
      <c r="D22" s="19" t="n">
        <f aca="false">B22*Allgemein!$B$6</f>
        <v>204</v>
      </c>
      <c r="E22" s="19" t="n">
        <f aca="false">D22*(1+Allgemein!$B$8)</f>
        <v>242.76</v>
      </c>
    </row>
    <row r="23" customFormat="false" ht="15" hidden="false" customHeight="false" outlineLevel="0" collapsed="false">
      <c r="A23" s="11" t="s">
        <v>208</v>
      </c>
      <c r="B23" s="12" t="n">
        <v>75</v>
      </c>
      <c r="C23" s="11" t="s">
        <v>27</v>
      </c>
      <c r="E23" s="19" t="n">
        <f aca="false">B23*(1+Allgemein!$B$8)</f>
        <v>89.25</v>
      </c>
    </row>
    <row r="24" customFormat="false" ht="15" hidden="false" customHeight="false" outlineLevel="0" collapsed="false">
      <c r="A24" s="11" t="s">
        <v>209</v>
      </c>
      <c r="B24" s="18" t="n">
        <v>1.25</v>
      </c>
      <c r="C24" s="11" t="s">
        <v>120</v>
      </c>
      <c r="D24" s="19" t="n">
        <f aca="false">B24*Allgemein!$B$6</f>
        <v>85</v>
      </c>
      <c r="E24" s="19" t="n">
        <f aca="false">D24*(1+Allgemein!$B$8)</f>
        <v>101.15</v>
      </c>
    </row>
    <row r="25" customFormat="false" ht="15" hidden="false" customHeight="false" outlineLevel="0" collapsed="false">
      <c r="A25" s="11" t="s">
        <v>210</v>
      </c>
      <c r="B25" s="12" t="n">
        <v>65</v>
      </c>
      <c r="C25" s="11" t="s">
        <v>27</v>
      </c>
      <c r="E25" s="19" t="n">
        <f aca="false">B25*(1+Allgemein!$B$8)</f>
        <v>77.35</v>
      </c>
    </row>
    <row r="26" customFormat="false" ht="15" hidden="false" customHeight="false" outlineLevel="0" collapsed="false">
      <c r="A26" s="11" t="s">
        <v>211</v>
      </c>
      <c r="B26" s="18" t="n">
        <v>0.75</v>
      </c>
      <c r="C26" s="11" t="s">
        <v>120</v>
      </c>
      <c r="D26" s="19" t="n">
        <f aca="false">B26*Allgemein!$B$6</f>
        <v>51</v>
      </c>
      <c r="E26" s="19" t="n">
        <f aca="false">D26*(1+Allgemein!$B$8)</f>
        <v>60.69</v>
      </c>
    </row>
    <row r="27" customFormat="false" ht="15" hidden="false" customHeight="false" outlineLevel="0" collapsed="false">
      <c r="A27" s="11" t="s">
        <v>212</v>
      </c>
      <c r="B27" s="12" t="n">
        <v>70</v>
      </c>
      <c r="C27" s="11" t="s">
        <v>27</v>
      </c>
      <c r="E27" s="19" t="n">
        <f aca="false">B27*(1+Allgemein!$B$8)</f>
        <v>83.3</v>
      </c>
    </row>
    <row r="28" customFormat="false" ht="15" hidden="false" customHeight="false" outlineLevel="0" collapsed="false">
      <c r="A28" s="11" t="s">
        <v>213</v>
      </c>
      <c r="B28" s="18" t="n">
        <v>1.25</v>
      </c>
      <c r="C28" s="11" t="s">
        <v>120</v>
      </c>
      <c r="D28" s="19" t="n">
        <f aca="false">B28*Allgemein!$B$6</f>
        <v>85</v>
      </c>
      <c r="E28" s="19" t="n">
        <f aca="false">D28*(1+Allgemein!$B$8)</f>
        <v>101.15</v>
      </c>
    </row>
    <row r="29" customFormat="false" ht="15" hidden="false" customHeight="false" outlineLevel="0" collapsed="false">
      <c r="A29" s="11" t="s">
        <v>214</v>
      </c>
      <c r="B29" s="12" t="n">
        <v>450</v>
      </c>
      <c r="C29" s="11" t="s">
        <v>27</v>
      </c>
      <c r="E29" s="19" t="n">
        <f aca="false">B29*(1+Allgemein!$B$8)</f>
        <v>535.5</v>
      </c>
    </row>
    <row r="30" customFormat="false" ht="15" hidden="false" customHeight="false" outlineLevel="0" collapsed="false">
      <c r="A30" s="11" t="s">
        <v>215</v>
      </c>
      <c r="B30" s="18" t="n">
        <v>4</v>
      </c>
      <c r="C30" s="11" t="s">
        <v>120</v>
      </c>
      <c r="D30" s="19" t="n">
        <f aca="false">B30*Allgemein!$B$6</f>
        <v>272</v>
      </c>
      <c r="E30" s="19" t="n">
        <f aca="false">D30*(1+Allgemein!$B$8)</f>
        <v>323.68</v>
      </c>
    </row>
    <row r="32" customFormat="false" ht="15" hidden="false" customHeight="false" outlineLevel="0" collapsed="false">
      <c r="A32" s="15" t="s">
        <v>218</v>
      </c>
    </row>
    <row r="33" customFormat="false" ht="15" hidden="false" customHeight="false" outlineLevel="0" collapsed="false">
      <c r="A33" s="10" t="s">
        <v>116</v>
      </c>
      <c r="B33" s="10" t="s">
        <v>24</v>
      </c>
      <c r="C33" s="10" t="s">
        <v>25</v>
      </c>
      <c r="D33" s="10" t="s">
        <v>117</v>
      </c>
      <c r="E33" s="10" t="s">
        <v>118</v>
      </c>
    </row>
    <row r="34" customFormat="false" ht="15" hidden="false" customHeight="false" outlineLevel="0" collapsed="false">
      <c r="A34" s="11" t="s">
        <v>204</v>
      </c>
      <c r="B34" s="21" t="s">
        <v>219</v>
      </c>
      <c r="C34" s="11"/>
    </row>
    <row r="35" customFormat="false" ht="15" hidden="false" customHeight="false" outlineLevel="0" collapsed="false">
      <c r="A35" s="11" t="s">
        <v>206</v>
      </c>
      <c r="B35" s="12" t="n">
        <v>1300</v>
      </c>
      <c r="C35" s="11" t="s">
        <v>27</v>
      </c>
      <c r="E35" s="19" t="n">
        <f aca="false">B35*(1+Allgemein!$B$8)</f>
        <v>1547</v>
      </c>
    </row>
    <row r="36" customFormat="false" ht="15" hidden="false" customHeight="false" outlineLevel="0" collapsed="false">
      <c r="A36" s="11" t="s">
        <v>207</v>
      </c>
      <c r="B36" s="18" t="n">
        <v>14</v>
      </c>
      <c r="C36" s="11" t="s">
        <v>120</v>
      </c>
      <c r="D36" s="19" t="n">
        <f aca="false">B36*Allgemein!$B$6</f>
        <v>952</v>
      </c>
      <c r="E36" s="19" t="n">
        <f aca="false">D36*(1+Allgemein!$B$8)</f>
        <v>1132.88</v>
      </c>
    </row>
    <row r="37" customFormat="false" ht="15" hidden="false" customHeight="false" outlineLevel="0" collapsed="false">
      <c r="A37" s="11" t="s">
        <v>208</v>
      </c>
      <c r="B37" s="12" t="n">
        <v>180</v>
      </c>
      <c r="C37" s="11" t="s">
        <v>27</v>
      </c>
      <c r="E37" s="19" t="n">
        <f aca="false">B37*(1+Allgemein!$B$8)</f>
        <v>214.2</v>
      </c>
    </row>
    <row r="38" customFormat="false" ht="15" hidden="false" customHeight="false" outlineLevel="0" collapsed="false">
      <c r="A38" s="11" t="s">
        <v>209</v>
      </c>
      <c r="B38" s="18" t="n">
        <v>2</v>
      </c>
      <c r="C38" s="11" t="s">
        <v>120</v>
      </c>
      <c r="D38" s="19" t="n">
        <f aca="false">B38*Allgemein!$B$6</f>
        <v>136</v>
      </c>
      <c r="E38" s="19" t="n">
        <f aca="false">D38*(1+Allgemein!$B$8)</f>
        <v>161.84</v>
      </c>
    </row>
    <row r="39" customFormat="false" ht="15" hidden="false" customHeight="false" outlineLevel="0" collapsed="false">
      <c r="A39" s="11" t="s">
        <v>210</v>
      </c>
      <c r="B39" s="12" t="n">
        <v>140</v>
      </c>
      <c r="C39" s="11" t="s">
        <v>27</v>
      </c>
      <c r="E39" s="19" t="n">
        <f aca="false">B39*(1+Allgemein!$B$8)</f>
        <v>166.6</v>
      </c>
    </row>
    <row r="40" customFormat="false" ht="15" hidden="false" customHeight="false" outlineLevel="0" collapsed="false">
      <c r="A40" s="11" t="s">
        <v>211</v>
      </c>
      <c r="B40" s="18" t="n">
        <v>1.5</v>
      </c>
      <c r="C40" s="11" t="s">
        <v>120</v>
      </c>
      <c r="D40" s="19" t="n">
        <f aca="false">B40*Allgemein!$B$6</f>
        <v>102</v>
      </c>
      <c r="E40" s="19" t="n">
        <f aca="false">D40*(1+Allgemein!$B$8)</f>
        <v>121.38</v>
      </c>
    </row>
    <row r="41" customFormat="false" ht="15" hidden="false" customHeight="false" outlineLevel="0" collapsed="false">
      <c r="A41" s="11" t="s">
        <v>212</v>
      </c>
      <c r="B41" s="12" t="n">
        <v>150</v>
      </c>
      <c r="C41" s="11" t="s">
        <v>27</v>
      </c>
      <c r="E41" s="19" t="n">
        <f aca="false">B41*(1+Allgemein!$B$8)</f>
        <v>178.5</v>
      </c>
    </row>
    <row r="42" customFormat="false" ht="15" hidden="false" customHeight="false" outlineLevel="0" collapsed="false">
      <c r="A42" s="11" t="s">
        <v>213</v>
      </c>
      <c r="B42" s="18" t="n">
        <v>1.75</v>
      </c>
      <c r="C42" s="11" t="s">
        <v>120</v>
      </c>
      <c r="D42" s="19" t="n">
        <f aca="false">B42*Allgemein!$B$6</f>
        <v>119</v>
      </c>
      <c r="E42" s="19" t="n">
        <f aca="false">D42*(1+Allgemein!$B$8)</f>
        <v>141.61</v>
      </c>
    </row>
    <row r="43" customFormat="false" ht="15" hidden="false" customHeight="false" outlineLevel="0" collapsed="false">
      <c r="A43" s="11" t="s">
        <v>214</v>
      </c>
      <c r="B43" s="12" t="n">
        <v>700</v>
      </c>
      <c r="C43" s="11" t="s">
        <v>27</v>
      </c>
      <c r="E43" s="19" t="n">
        <f aca="false">B43*(1+Allgemein!$B$8)</f>
        <v>833</v>
      </c>
    </row>
    <row r="44" customFormat="false" ht="15" hidden="false" customHeight="false" outlineLevel="0" collapsed="false">
      <c r="A44" s="11" t="s">
        <v>215</v>
      </c>
      <c r="B44" s="18" t="n">
        <v>7</v>
      </c>
      <c r="C44" s="11" t="s">
        <v>120</v>
      </c>
      <c r="D44" s="19" t="n">
        <f aca="false">B44*Allgemein!$B$6</f>
        <v>476</v>
      </c>
      <c r="E44" s="19" t="n">
        <f aca="false">D44*(1+Allgemein!$B$8)</f>
        <v>566.44</v>
      </c>
    </row>
    <row r="46" customFormat="false" ht="15" hidden="false" customHeight="false" outlineLevel="0" collapsed="false">
      <c r="A46" s="15" t="s">
        <v>220</v>
      </c>
    </row>
    <row r="47" customFormat="false" ht="15" hidden="false" customHeight="false" outlineLevel="0" collapsed="false">
      <c r="A47" s="10" t="s">
        <v>116</v>
      </c>
      <c r="B47" s="10" t="s">
        <v>24</v>
      </c>
      <c r="C47" s="10" t="s">
        <v>25</v>
      </c>
      <c r="D47" s="10" t="s">
        <v>117</v>
      </c>
      <c r="E47" s="10" t="s">
        <v>118</v>
      </c>
    </row>
    <row r="48" customFormat="false" ht="15" hidden="false" customHeight="false" outlineLevel="0" collapsed="false">
      <c r="A48" s="11" t="s">
        <v>221</v>
      </c>
      <c r="B48" s="12" t="n">
        <v>0</v>
      </c>
      <c r="C48" s="11" t="s">
        <v>27</v>
      </c>
    </row>
    <row r="49" customFormat="false" ht="15" hidden="false" customHeight="false" outlineLevel="0" collapsed="false">
      <c r="A49" s="11" t="s">
        <v>222</v>
      </c>
      <c r="B49" s="18" t="n">
        <v>4</v>
      </c>
      <c r="C49" s="11" t="s">
        <v>120</v>
      </c>
      <c r="D49" s="19" t="n">
        <f aca="false">B49*Allgemein!$B$6</f>
        <v>272</v>
      </c>
      <c r="E49" s="19" t="n">
        <f aca="false">D49*(1+Allgemein!$B$8)</f>
        <v>323.68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8" t="s">
        <v>223</v>
      </c>
    </row>
    <row r="2" customFormat="false" ht="15" hidden="false" customHeight="false" outlineLevel="0" collapsed="false">
      <c r="A2" s="9" t="s">
        <v>54</v>
      </c>
    </row>
    <row r="4" customFormat="false" ht="15" hidden="false" customHeight="false" outlineLevel="0" collapsed="false">
      <c r="A4" s="15" t="s">
        <v>224</v>
      </c>
    </row>
    <row r="5" customFormat="false" ht="15" hidden="false" customHeight="false" outlineLevel="0" collapsed="false">
      <c r="A5" s="9" t="s">
        <v>225</v>
      </c>
    </row>
    <row r="6" customFormat="false" ht="15" hidden="false" customHeight="false" outlineLevel="0" collapsed="false">
      <c r="A6" s="10" t="s">
        <v>57</v>
      </c>
      <c r="B6" s="10" t="s">
        <v>226</v>
      </c>
    </row>
    <row r="7" customFormat="false" ht="15" hidden="false" customHeight="false" outlineLevel="0" collapsed="false">
      <c r="A7" s="17" t="s">
        <v>47</v>
      </c>
      <c r="B7" s="17" t="s">
        <v>227</v>
      </c>
    </row>
    <row r="8" customFormat="false" ht="15" hidden="false" customHeight="false" outlineLevel="0" collapsed="false">
      <c r="A8" s="17" t="s">
        <v>47</v>
      </c>
      <c r="B8" s="17" t="s">
        <v>228</v>
      </c>
    </row>
    <row r="9" customFormat="false" ht="15" hidden="false" customHeight="false" outlineLevel="0" collapsed="false">
      <c r="A9" s="17" t="s">
        <v>47</v>
      </c>
      <c r="B9" s="17" t="s">
        <v>229</v>
      </c>
    </row>
    <row r="10" customFormat="false" ht="15" hidden="false" customHeight="false" outlineLevel="0" collapsed="false">
      <c r="A10" s="9" t="s">
        <v>89</v>
      </c>
    </row>
    <row r="12" customFormat="false" ht="15" hidden="false" customHeight="false" outlineLevel="0" collapsed="false">
      <c r="A12" s="15" t="s">
        <v>230</v>
      </c>
    </row>
    <row r="13" customFormat="false" ht="15" hidden="false" customHeight="false" outlineLevel="0" collapsed="false">
      <c r="A13" s="9" t="s">
        <v>231</v>
      </c>
    </row>
    <row r="14" customFormat="false" ht="35.05" hidden="false" customHeight="false" outlineLevel="0" collapsed="false">
      <c r="A14" s="10" t="s">
        <v>57</v>
      </c>
      <c r="B14" s="10" t="s">
        <v>58</v>
      </c>
      <c r="C14" s="10" t="s">
        <v>232</v>
      </c>
      <c r="D14" s="10" t="s">
        <v>59</v>
      </c>
      <c r="E14" s="10" t="s">
        <v>233</v>
      </c>
      <c r="F14" s="10" t="s">
        <v>63</v>
      </c>
      <c r="G14" s="10" t="s">
        <v>234</v>
      </c>
    </row>
    <row r="15" customFormat="false" ht="15" hidden="false" customHeight="false" outlineLevel="0" collapsed="false">
      <c r="A15" s="17" t="s">
        <v>47</v>
      </c>
      <c r="B15" s="17" t="s">
        <v>227</v>
      </c>
      <c r="C15" s="17" t="s">
        <v>235</v>
      </c>
      <c r="D15" s="17" t="s">
        <v>236</v>
      </c>
      <c r="E15" s="17" t="s">
        <v>237</v>
      </c>
      <c r="F15" s="12" t="n">
        <v>599</v>
      </c>
      <c r="G15" s="12" t="n">
        <v>49</v>
      </c>
    </row>
    <row r="16" customFormat="false" ht="15" hidden="false" customHeight="false" outlineLevel="0" collapsed="false">
      <c r="A16" s="17" t="s">
        <v>47</v>
      </c>
      <c r="B16" s="17" t="s">
        <v>227</v>
      </c>
      <c r="C16" s="17" t="s">
        <v>235</v>
      </c>
      <c r="D16" s="17" t="s">
        <v>238</v>
      </c>
      <c r="E16" s="17" t="s">
        <v>237</v>
      </c>
      <c r="F16" s="12" t="n">
        <v>799</v>
      </c>
      <c r="G16" s="12" t="n">
        <v>49</v>
      </c>
    </row>
    <row r="17" customFormat="false" ht="15" hidden="false" customHeight="false" outlineLevel="0" collapsed="false">
      <c r="A17" s="17" t="s">
        <v>47</v>
      </c>
      <c r="B17" s="17" t="s">
        <v>227</v>
      </c>
      <c r="C17" s="17" t="s">
        <v>239</v>
      </c>
      <c r="D17" s="17" t="s">
        <v>240</v>
      </c>
      <c r="E17" s="17" t="s">
        <v>237</v>
      </c>
      <c r="F17" s="12" t="n">
        <v>849</v>
      </c>
      <c r="G17" s="12" t="n">
        <v>39</v>
      </c>
    </row>
    <row r="18" customFormat="false" ht="15" hidden="false" customHeight="false" outlineLevel="0" collapsed="false">
      <c r="A18" s="17" t="s">
        <v>47</v>
      </c>
      <c r="B18" s="17" t="s">
        <v>227</v>
      </c>
      <c r="C18" s="17" t="s">
        <v>241</v>
      </c>
      <c r="D18" s="17" t="s">
        <v>242</v>
      </c>
      <c r="E18" s="17" t="s">
        <v>237</v>
      </c>
      <c r="F18" s="12" t="n">
        <v>649</v>
      </c>
      <c r="G18" s="12" t="n">
        <v>149</v>
      </c>
    </row>
    <row r="19" customFormat="false" ht="15" hidden="false" customHeight="false" outlineLevel="0" collapsed="false">
      <c r="A19" s="17" t="s">
        <v>47</v>
      </c>
      <c r="B19" s="17" t="s">
        <v>227</v>
      </c>
      <c r="C19" s="17" t="s">
        <v>243</v>
      </c>
      <c r="D19" s="17" t="s">
        <v>244</v>
      </c>
      <c r="E19" s="17" t="s">
        <v>237</v>
      </c>
      <c r="F19" s="12" t="n">
        <v>699</v>
      </c>
      <c r="G19" s="12" t="n">
        <v>129</v>
      </c>
    </row>
    <row r="20" customFormat="false" ht="15" hidden="false" customHeight="false" outlineLevel="0" collapsed="false">
      <c r="A20" s="17" t="s">
        <v>47</v>
      </c>
      <c r="B20" s="17" t="s">
        <v>227</v>
      </c>
      <c r="C20" s="17" t="s">
        <v>245</v>
      </c>
      <c r="D20" s="17" t="s">
        <v>246</v>
      </c>
      <c r="E20" s="17" t="s">
        <v>237</v>
      </c>
      <c r="F20" s="12" t="n">
        <v>749</v>
      </c>
      <c r="G20" s="12" t="n">
        <v>39</v>
      </c>
    </row>
    <row r="21" customFormat="false" ht="15" hidden="false" customHeight="false" outlineLevel="0" collapsed="false">
      <c r="A21" s="17" t="s">
        <v>47</v>
      </c>
      <c r="B21" s="17" t="s">
        <v>228</v>
      </c>
      <c r="C21" s="17" t="s">
        <v>235</v>
      </c>
      <c r="D21" s="17" t="s">
        <v>247</v>
      </c>
      <c r="E21" s="17" t="s">
        <v>237</v>
      </c>
      <c r="F21" s="12" t="n">
        <v>1199</v>
      </c>
      <c r="G21" s="12" t="n">
        <v>49</v>
      </c>
    </row>
    <row r="22" customFormat="false" ht="15" hidden="false" customHeight="false" outlineLevel="0" collapsed="false">
      <c r="A22" s="17" t="s">
        <v>47</v>
      </c>
      <c r="B22" s="17" t="s">
        <v>229</v>
      </c>
      <c r="C22" s="17" t="s">
        <v>245</v>
      </c>
      <c r="D22" s="17" t="s">
        <v>248</v>
      </c>
      <c r="E22" s="17" t="s">
        <v>237</v>
      </c>
      <c r="F22" s="12" t="n">
        <v>999</v>
      </c>
      <c r="G22" s="12" t="n">
        <v>39</v>
      </c>
    </row>
    <row r="23" customFormat="false" ht="15" hidden="false" customHeight="false" outlineLevel="0" collapsed="false">
      <c r="A23" s="9" t="s">
        <v>89</v>
      </c>
    </row>
    <row r="25" customFormat="false" ht="15" hidden="false" customHeight="false" outlineLevel="0" collapsed="false">
      <c r="A25" s="15" t="s">
        <v>249</v>
      </c>
    </row>
    <row r="26" customFormat="false" ht="15" hidden="false" customHeight="false" outlineLevel="0" collapsed="false">
      <c r="A26" s="10" t="s">
        <v>116</v>
      </c>
      <c r="B26" s="10" t="s">
        <v>24</v>
      </c>
      <c r="C26" s="10" t="s">
        <v>25</v>
      </c>
      <c r="D26" s="10" t="s">
        <v>117</v>
      </c>
      <c r="E26" s="10" t="s">
        <v>118</v>
      </c>
    </row>
    <row r="27" customFormat="false" ht="15" hidden="false" customHeight="false" outlineLevel="0" collapsed="false">
      <c r="A27" s="11" t="s">
        <v>250</v>
      </c>
      <c r="B27" s="12" t="n">
        <v>39</v>
      </c>
      <c r="C27" s="11" t="s">
        <v>27</v>
      </c>
    </row>
    <row r="28" customFormat="false" ht="15" hidden="false" customHeight="false" outlineLevel="0" collapsed="false">
      <c r="A28" s="11" t="s">
        <v>251</v>
      </c>
      <c r="B28" s="12" t="n">
        <v>25</v>
      </c>
      <c r="C28" s="11" t="s">
        <v>27</v>
      </c>
    </row>
    <row r="29" customFormat="false" ht="15" hidden="false" customHeight="false" outlineLevel="0" collapsed="false">
      <c r="A29" s="11" t="s">
        <v>252</v>
      </c>
      <c r="B29" s="21" t="s">
        <v>253</v>
      </c>
      <c r="C29" s="11"/>
    </row>
  </sheetData>
  <dataValidations count="1">
    <dataValidation allowBlank="false" errorStyle="stop" operator="between" showDropDown="false" showErrorMessage="false" showInputMessage="false" sqref="A7:A9 A15:A22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8" t="s">
        <v>51</v>
      </c>
    </row>
    <row r="2" customFormat="false" ht="15" hidden="false" customHeight="false" outlineLevel="0" collapsed="false">
      <c r="A2" s="9" t="s">
        <v>54</v>
      </c>
    </row>
    <row r="4" customFormat="false" ht="15" hidden="false" customHeight="false" outlineLevel="0" collapsed="false">
      <c r="A4" s="15" t="s">
        <v>254</v>
      </c>
    </row>
    <row r="5" customFormat="false" ht="15" hidden="false" customHeight="false" outlineLevel="0" collapsed="false">
      <c r="A5" s="10" t="s">
        <v>116</v>
      </c>
      <c r="B5" s="10" t="s">
        <v>24</v>
      </c>
      <c r="C5" s="10" t="s">
        <v>25</v>
      </c>
      <c r="D5" s="10" t="s">
        <v>117</v>
      </c>
      <c r="E5" s="10" t="s">
        <v>118</v>
      </c>
    </row>
    <row r="6" customFormat="false" ht="15" hidden="false" customHeight="false" outlineLevel="0" collapsed="false">
      <c r="A6" s="11" t="s">
        <v>255</v>
      </c>
      <c r="B6" s="12" t="n">
        <v>42</v>
      </c>
      <c r="C6" s="11" t="s">
        <v>27</v>
      </c>
      <c r="E6" s="19" t="n">
        <f aca="false">B6*(1+Allgemein!$B$8)</f>
        <v>49.98</v>
      </c>
    </row>
    <row r="7" customFormat="false" ht="15" hidden="false" customHeight="false" outlineLevel="0" collapsed="false">
      <c r="A7" s="11" t="s">
        <v>256</v>
      </c>
      <c r="B7" s="18" t="n">
        <v>0.75</v>
      </c>
      <c r="C7" s="11" t="s">
        <v>120</v>
      </c>
      <c r="D7" s="19" t="n">
        <f aca="false">B7*Allgemein!$B$6</f>
        <v>51</v>
      </c>
      <c r="E7" s="19" t="n">
        <f aca="false">D7*(1+Allgemein!$B$8)</f>
        <v>60.69</v>
      </c>
    </row>
    <row r="8" customFormat="false" ht="15" hidden="false" customHeight="false" outlineLevel="0" collapsed="false">
      <c r="A8" s="11" t="s">
        <v>257</v>
      </c>
      <c r="B8" s="12" t="n">
        <v>52</v>
      </c>
      <c r="C8" s="11" t="s">
        <v>27</v>
      </c>
      <c r="E8" s="19" t="n">
        <f aca="false">B8*(1+Allgemein!$B$8)</f>
        <v>61.88</v>
      </c>
    </row>
    <row r="9" customFormat="false" ht="15" hidden="false" customHeight="false" outlineLevel="0" collapsed="false">
      <c r="A9" s="11" t="s">
        <v>258</v>
      </c>
      <c r="B9" s="18" t="n">
        <v>1.2</v>
      </c>
      <c r="C9" s="11" t="s">
        <v>120</v>
      </c>
      <c r="D9" s="19" t="n">
        <f aca="false">B9*Allgemein!$B$6</f>
        <v>81.6</v>
      </c>
      <c r="E9" s="19" t="n">
        <f aca="false">D9*(1+Allgemein!$B$8)</f>
        <v>97.104</v>
      </c>
    </row>
    <row r="10" customFormat="false" ht="15" hidden="false" customHeight="false" outlineLevel="0" collapsed="false">
      <c r="A10" s="11" t="s">
        <v>259</v>
      </c>
      <c r="B10" s="12" t="n">
        <v>30</v>
      </c>
      <c r="C10" s="11" t="s">
        <v>27</v>
      </c>
      <c r="E10" s="19" t="n">
        <f aca="false">B10*(1+Allgemein!$B$8)</f>
        <v>35.7</v>
      </c>
    </row>
    <row r="11" customFormat="false" ht="15" hidden="false" customHeight="false" outlineLevel="0" collapsed="false">
      <c r="A11" s="11" t="s">
        <v>260</v>
      </c>
      <c r="B11" s="18" t="n">
        <v>0.6</v>
      </c>
      <c r="C11" s="11" t="s">
        <v>120</v>
      </c>
      <c r="D11" s="19" t="n">
        <f aca="false">B11*Allgemein!$B$6</f>
        <v>40.8</v>
      </c>
      <c r="E11" s="19" t="n">
        <f aca="false">D11*(1+Allgemein!$B$8)</f>
        <v>48.552</v>
      </c>
    </row>
    <row r="13" customFormat="false" ht="15" hidden="false" customHeight="false" outlineLevel="0" collapsed="false">
      <c r="A13" s="15" t="s">
        <v>261</v>
      </c>
    </row>
    <row r="14" customFormat="false" ht="15" hidden="false" customHeight="false" outlineLevel="0" collapsed="false">
      <c r="A14" s="10" t="s">
        <v>116</v>
      </c>
      <c r="B14" s="10" t="s">
        <v>24</v>
      </c>
      <c r="C14" s="10" t="s">
        <v>25</v>
      </c>
      <c r="D14" s="10" t="s">
        <v>117</v>
      </c>
      <c r="E14" s="10" t="s">
        <v>118</v>
      </c>
    </row>
    <row r="15" customFormat="false" ht="15" hidden="false" customHeight="false" outlineLevel="0" collapsed="false">
      <c r="A15" s="11" t="s">
        <v>262</v>
      </c>
      <c r="B15" s="12" t="n">
        <v>1650</v>
      </c>
      <c r="C15" s="11" t="s">
        <v>27</v>
      </c>
      <c r="E15" s="19" t="n">
        <f aca="false">B15*(1+Allgemein!$B$8)</f>
        <v>1963.5</v>
      </c>
    </row>
    <row r="16" customFormat="false" ht="15" hidden="false" customHeight="false" outlineLevel="0" collapsed="false">
      <c r="A16" s="11" t="s">
        <v>263</v>
      </c>
      <c r="B16" s="18" t="n">
        <v>18</v>
      </c>
      <c r="C16" s="11" t="s">
        <v>120</v>
      </c>
      <c r="D16" s="19" t="n">
        <f aca="false">B16*Allgemein!$B$6</f>
        <v>1224</v>
      </c>
      <c r="E16" s="19" t="n">
        <f aca="false">D16*(1+Allgemein!$B$8)</f>
        <v>1456.56</v>
      </c>
    </row>
    <row r="17" customFormat="false" ht="15" hidden="false" customHeight="false" outlineLevel="0" collapsed="false">
      <c r="A17" s="11" t="s">
        <v>264</v>
      </c>
      <c r="B17" s="12" t="n">
        <v>55</v>
      </c>
      <c r="C17" s="11" t="s">
        <v>27</v>
      </c>
      <c r="E17" s="19" t="n">
        <f aca="false">B17*(1+Allgemein!$B$8)</f>
        <v>65.45</v>
      </c>
    </row>
    <row r="18" customFormat="false" ht="15" hidden="false" customHeight="false" outlineLevel="0" collapsed="false">
      <c r="A18" s="11" t="s">
        <v>265</v>
      </c>
      <c r="B18" s="18" t="n">
        <v>1.4</v>
      </c>
      <c r="C18" s="11" t="s">
        <v>120</v>
      </c>
      <c r="D18" s="19" t="n">
        <f aca="false">B18*Allgemein!$B$6</f>
        <v>95.2</v>
      </c>
      <c r="E18" s="19" t="n">
        <f aca="false">D18*(1+Allgemein!$B$8)</f>
        <v>113.288</v>
      </c>
    </row>
    <row r="19" customFormat="false" ht="15" hidden="false" customHeight="false" outlineLevel="0" collapsed="false">
      <c r="A19" s="11" t="s">
        <v>266</v>
      </c>
      <c r="B19" s="12" t="n">
        <v>330</v>
      </c>
      <c r="C19" s="11" t="s">
        <v>27</v>
      </c>
      <c r="E19" s="19" t="n">
        <f aca="false">B19*(1+Allgemein!$B$8)</f>
        <v>392.7</v>
      </c>
    </row>
    <row r="20" customFormat="false" ht="15" hidden="false" customHeight="false" outlineLevel="0" collapsed="false">
      <c r="A20" s="11" t="s">
        <v>267</v>
      </c>
      <c r="B20" s="18" t="n">
        <v>2.5</v>
      </c>
      <c r="C20" s="11" t="s">
        <v>120</v>
      </c>
      <c r="D20" s="19" t="n">
        <f aca="false">B20*Allgemein!$B$6</f>
        <v>170</v>
      </c>
      <c r="E20" s="19" t="n">
        <f aca="false">D20*(1+Allgemein!$B$8)</f>
        <v>202.3</v>
      </c>
    </row>
    <row r="21" customFormat="false" ht="15" hidden="false" customHeight="false" outlineLevel="0" collapsed="false">
      <c r="A21" s="11" t="s">
        <v>268</v>
      </c>
      <c r="B21" s="12" t="n">
        <v>0</v>
      </c>
      <c r="C21" s="11" t="s">
        <v>27</v>
      </c>
      <c r="E21" s="19" t="n">
        <f aca="false">B21*(1+Allgemein!$B$8)</f>
        <v>0</v>
      </c>
    </row>
    <row r="22" customFormat="false" ht="15" hidden="false" customHeight="false" outlineLevel="0" collapsed="false">
      <c r="A22" s="11" t="s">
        <v>269</v>
      </c>
      <c r="B22" s="18" t="n">
        <v>2.75</v>
      </c>
      <c r="C22" s="11" t="s">
        <v>120</v>
      </c>
      <c r="D22" s="19" t="n">
        <f aca="false">B22*Allgemein!$B$6</f>
        <v>187</v>
      </c>
      <c r="E22" s="19" t="n">
        <f aca="false">D22*(1+Allgemein!$B$8)</f>
        <v>222.53</v>
      </c>
    </row>
    <row r="24" customFormat="false" ht="15" hidden="false" customHeight="false" outlineLevel="0" collapsed="false">
      <c r="A24" s="15" t="s">
        <v>270</v>
      </c>
    </row>
    <row r="25" customFormat="false" ht="15" hidden="false" customHeight="false" outlineLevel="0" collapsed="false">
      <c r="A25" s="9" t="s">
        <v>271</v>
      </c>
    </row>
    <row r="26" customFormat="false" ht="15" hidden="false" customHeight="false" outlineLevel="0" collapsed="false">
      <c r="A26" s="10" t="s">
        <v>57</v>
      </c>
      <c r="B26" s="10" t="s">
        <v>58</v>
      </c>
      <c r="C26" s="10" t="s">
        <v>59</v>
      </c>
      <c r="D26" s="10" t="s">
        <v>60</v>
      </c>
      <c r="E26" s="10" t="s">
        <v>62</v>
      </c>
      <c r="F26" s="10" t="s">
        <v>63</v>
      </c>
    </row>
    <row r="27" customFormat="false" ht="15" hidden="false" customHeight="false" outlineLevel="0" collapsed="false">
      <c r="A27" s="17" t="s">
        <v>47</v>
      </c>
      <c r="B27" s="17" t="s">
        <v>171</v>
      </c>
      <c r="C27" s="17" t="s">
        <v>272</v>
      </c>
      <c r="D27" s="18" t="n">
        <v>11</v>
      </c>
      <c r="E27" s="12" t="n">
        <v>890</v>
      </c>
      <c r="F27" s="19" t="n">
        <f aca="false">E27*(1+Allgemein!$B$8)</f>
        <v>1059.1</v>
      </c>
    </row>
    <row r="28" customFormat="false" ht="15" hidden="false" customHeight="false" outlineLevel="0" collapsed="false">
      <c r="A28" s="17" t="s">
        <v>47</v>
      </c>
      <c r="B28" s="17" t="s">
        <v>273</v>
      </c>
      <c r="C28" s="17" t="s">
        <v>274</v>
      </c>
      <c r="D28" s="18" t="n">
        <v>11</v>
      </c>
      <c r="E28" s="12" t="n">
        <v>720</v>
      </c>
      <c r="F28" s="19" t="n">
        <f aca="false">E28*(1+Allgemein!$B$8)</f>
        <v>856.8</v>
      </c>
    </row>
    <row r="29" customFormat="false" ht="15" hidden="false" customHeight="false" outlineLevel="0" collapsed="false">
      <c r="A29" s="17" t="s">
        <v>47</v>
      </c>
      <c r="B29" s="17" t="s">
        <v>275</v>
      </c>
      <c r="C29" s="17" t="s">
        <v>276</v>
      </c>
      <c r="D29" s="18" t="n">
        <v>11</v>
      </c>
      <c r="E29" s="12" t="n">
        <v>990</v>
      </c>
      <c r="F29" s="19" t="n">
        <f aca="false">E29*(1+Allgemein!$B$8)</f>
        <v>1178.1</v>
      </c>
    </row>
    <row r="30" customFormat="false" ht="15" hidden="false" customHeight="false" outlineLevel="0" collapsed="false">
      <c r="A30" s="17" t="s">
        <v>47</v>
      </c>
      <c r="B30" s="17" t="s">
        <v>277</v>
      </c>
      <c r="C30" s="17" t="s">
        <v>278</v>
      </c>
      <c r="D30" s="18" t="n">
        <v>11</v>
      </c>
      <c r="E30" s="12" t="n">
        <v>650</v>
      </c>
      <c r="F30" s="19" t="n">
        <f aca="false">E30*(1+Allgemein!$B$8)</f>
        <v>773.5</v>
      </c>
    </row>
    <row r="31" customFormat="false" ht="15" hidden="false" customHeight="false" outlineLevel="0" collapsed="false">
      <c r="A31" s="9" t="s">
        <v>89</v>
      </c>
    </row>
    <row r="33" customFormat="false" ht="15" hidden="false" customHeight="false" outlineLevel="0" collapsed="false">
      <c r="A33" s="15" t="s">
        <v>279</v>
      </c>
    </row>
    <row r="34" customFormat="false" ht="15" hidden="false" customHeight="false" outlineLevel="0" collapsed="false">
      <c r="A34" s="10" t="s">
        <v>116</v>
      </c>
      <c r="B34" s="10" t="s">
        <v>24</v>
      </c>
      <c r="C34" s="10" t="s">
        <v>25</v>
      </c>
      <c r="D34" s="10" t="s">
        <v>117</v>
      </c>
      <c r="E34" s="10" t="s">
        <v>118</v>
      </c>
    </row>
    <row r="35" customFormat="false" ht="15" hidden="false" customHeight="false" outlineLevel="0" collapsed="false">
      <c r="A35" s="11" t="s">
        <v>280</v>
      </c>
      <c r="B35" s="18" t="n">
        <v>7</v>
      </c>
      <c r="C35" s="11" t="s">
        <v>120</v>
      </c>
      <c r="D35" s="19" t="n">
        <f aca="false">B35*Allgemein!$B$6</f>
        <v>476</v>
      </c>
      <c r="E35" s="19" t="n">
        <f aca="false">D35*(1+Allgemein!$B$8)</f>
        <v>566.44</v>
      </c>
    </row>
  </sheetData>
  <dataValidations count="1">
    <dataValidation allowBlank="false" errorStyle="stop" operator="between" showDropDown="false" showErrorMessage="false" showInputMessage="false" sqref="A27:A30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22" t="s">
        <v>281</v>
      </c>
    </row>
    <row r="2" customFormat="false" ht="15" hidden="false" customHeight="false" outlineLevel="0" collapsed="false">
      <c r="A2" s="23" t="s">
        <v>282</v>
      </c>
    </row>
    <row r="4" customFormat="false" ht="15" hidden="false" customHeight="false" outlineLevel="0" collapsed="false">
      <c r="A4" s="24" t="s">
        <v>281</v>
      </c>
      <c r="B4" s="24" t="s">
        <v>44</v>
      </c>
      <c r="C4" s="24" t="s">
        <v>283</v>
      </c>
      <c r="D4" s="24" t="s">
        <v>284</v>
      </c>
    </row>
    <row r="5" customFormat="false" ht="15" hidden="false" customHeight="false" outlineLevel="0" collapsed="false">
      <c r="A5" s="25" t="s">
        <v>171</v>
      </c>
      <c r="B5" s="26" t="s">
        <v>285</v>
      </c>
      <c r="C5" s="26" t="s">
        <v>286</v>
      </c>
      <c r="D5" s="26" t="s">
        <v>287</v>
      </c>
    </row>
    <row r="6" customFormat="false" ht="15" hidden="false" customHeight="false" outlineLevel="0" collapsed="false">
      <c r="A6" s="25" t="s">
        <v>141</v>
      </c>
      <c r="B6" s="26" t="s">
        <v>288</v>
      </c>
      <c r="C6" s="26" t="s">
        <v>286</v>
      </c>
      <c r="D6" s="26" t="s">
        <v>289</v>
      </c>
    </row>
    <row r="7" customFormat="false" ht="15" hidden="false" customHeight="false" outlineLevel="0" collapsed="false">
      <c r="A7" s="25" t="s">
        <v>64</v>
      </c>
      <c r="B7" s="26" t="s">
        <v>290</v>
      </c>
      <c r="C7" s="26" t="s">
        <v>286</v>
      </c>
      <c r="D7" s="26" t="s">
        <v>291</v>
      </c>
    </row>
    <row r="8" customFormat="false" ht="15" hidden="false" customHeight="false" outlineLevel="0" collapsed="false">
      <c r="A8" s="25" t="s">
        <v>292</v>
      </c>
      <c r="B8" s="26" t="s">
        <v>293</v>
      </c>
      <c r="C8" s="26" t="s">
        <v>286</v>
      </c>
      <c r="D8" s="26" t="s">
        <v>294</v>
      </c>
    </row>
    <row r="9" customFormat="false" ht="15" hidden="false" customHeight="false" outlineLevel="0" collapsed="false">
      <c r="A9" s="25" t="s">
        <v>295</v>
      </c>
      <c r="B9" s="26" t="s">
        <v>296</v>
      </c>
      <c r="C9" s="26" t="s">
        <v>286</v>
      </c>
      <c r="D9" s="26" t="s">
        <v>297</v>
      </c>
    </row>
    <row r="10" customFormat="false" ht="15" hidden="false" customHeight="false" outlineLevel="0" collapsed="false">
      <c r="A10" s="25" t="s">
        <v>298</v>
      </c>
      <c r="B10" s="26" t="s">
        <v>299</v>
      </c>
      <c r="C10" s="26" t="s">
        <v>300</v>
      </c>
      <c r="D10" s="26" t="s">
        <v>301</v>
      </c>
    </row>
    <row r="11" customFormat="false" ht="15" hidden="false" customHeight="false" outlineLevel="0" collapsed="false">
      <c r="A11" s="25" t="s">
        <v>302</v>
      </c>
      <c r="B11" s="26" t="s">
        <v>299</v>
      </c>
      <c r="C11" s="26" t="s">
        <v>300</v>
      </c>
      <c r="D11" s="26" t="s">
        <v>303</v>
      </c>
    </row>
    <row r="12" customFormat="false" ht="15" hidden="false" customHeight="false" outlineLevel="0" collapsed="false">
      <c r="A12" s="25" t="s">
        <v>304</v>
      </c>
      <c r="B12" s="26" t="s">
        <v>299</v>
      </c>
      <c r="C12" s="26" t="s">
        <v>300</v>
      </c>
      <c r="D12" s="26" t="s">
        <v>305</v>
      </c>
    </row>
    <row r="13" customFormat="false" ht="15" hidden="false" customHeight="false" outlineLevel="0" collapsed="false">
      <c r="A13" s="25" t="s">
        <v>306</v>
      </c>
      <c r="B13" s="26" t="s">
        <v>299</v>
      </c>
      <c r="C13" s="26" t="s">
        <v>300</v>
      </c>
      <c r="D13" s="26" t="s">
        <v>307</v>
      </c>
    </row>
    <row r="14" customFormat="false" ht="15" hidden="false" customHeight="false" outlineLevel="0" collapsed="false">
      <c r="A14" s="25" t="s">
        <v>308</v>
      </c>
      <c r="B14" s="26" t="s">
        <v>299</v>
      </c>
      <c r="C14" s="26" t="s">
        <v>300</v>
      </c>
      <c r="D14" s="26" t="s">
        <v>309</v>
      </c>
    </row>
    <row r="15" customFormat="false" ht="15" hidden="false" customHeight="false" outlineLevel="0" collapsed="false">
      <c r="A15" s="25" t="s">
        <v>310</v>
      </c>
      <c r="B15" s="26" t="s">
        <v>299</v>
      </c>
      <c r="C15" s="26" t="s">
        <v>300</v>
      </c>
      <c r="D15" s="26" t="s">
        <v>311</v>
      </c>
    </row>
    <row r="16" customFormat="false" ht="15" hidden="false" customHeight="false" outlineLevel="0" collapsed="false">
      <c r="A16" s="25" t="s">
        <v>229</v>
      </c>
      <c r="B16" s="26" t="s">
        <v>299</v>
      </c>
      <c r="C16" s="26" t="s">
        <v>300</v>
      </c>
      <c r="D16" s="26" t="s">
        <v>312</v>
      </c>
    </row>
    <row r="17" customFormat="false" ht="15" hidden="false" customHeight="false" outlineLevel="0" collapsed="false">
      <c r="A17" s="25" t="s">
        <v>228</v>
      </c>
      <c r="B17" s="26" t="s">
        <v>299</v>
      </c>
      <c r="C17" s="26" t="s">
        <v>300</v>
      </c>
      <c r="D17" s="26" t="s">
        <v>313</v>
      </c>
    </row>
    <row r="18" customFormat="false" ht="15" hidden="false" customHeight="false" outlineLevel="0" collapsed="false">
      <c r="A18" s="25" t="s">
        <v>314</v>
      </c>
      <c r="B18" s="26" t="s">
        <v>299</v>
      </c>
      <c r="C18" s="26" t="s">
        <v>300</v>
      </c>
      <c r="D18" s="26" t="s">
        <v>315</v>
      </c>
    </row>
    <row r="19" customFormat="false" ht="15" hidden="false" customHeight="false" outlineLevel="0" collapsed="false">
      <c r="A19" s="25" t="s">
        <v>316</v>
      </c>
      <c r="B19" s="26" t="s">
        <v>299</v>
      </c>
      <c r="C19" s="26" t="s">
        <v>300</v>
      </c>
      <c r="D19" s="26" t="s">
        <v>317</v>
      </c>
    </row>
    <row r="20" customFormat="false" ht="15" hidden="false" customHeight="false" outlineLevel="0" collapsed="false">
      <c r="A20" s="25" t="s">
        <v>318</v>
      </c>
      <c r="B20" s="26" t="s">
        <v>299</v>
      </c>
      <c r="C20" s="26" t="s">
        <v>300</v>
      </c>
      <c r="D20" s="26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2026-10-25T10:03:00Z</dcterms:created>
  <dc:creator>Elektrotechnik Ulshöfer GmbH</dc:creator>
  <dc:description/>
  <dc:language>en-US</dc:language>
  <cp:lastModifiedBy/>
  <dcterms:modified xsi:type="dcterms:W3CDTF">2026-10-25T10:03:00Z</dcterms:modified>
  <cp:revision>0</cp:revision>
  <dc:subject/>
  <dc:title>Ulshöfer – Preisliste Angebotsrechner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