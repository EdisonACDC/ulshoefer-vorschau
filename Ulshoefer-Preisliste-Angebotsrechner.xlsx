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nleitung" sheetId="1" state="visible" r:id="rId3"/>
    <sheet name="Allgemein" sheetId="2" state="visible" r:id="rId4"/>
    <sheet name="Klimaanlage" sheetId="3" state="visible" r:id="rId5"/>
    <sheet name="Wärmepumpe" sheetId="4" state="visible" r:id="rId6"/>
    <sheet name="Photovoltaik" sheetId="5" state="visible" r:id="rId7"/>
    <sheet name="Smart Home" sheetId="6" state="visible" r:id="rId8"/>
    <sheet name="Hausgeräte" sheetId="7" state="visible" r:id="rId9"/>
    <sheet name="Elektroinstallation" sheetId="8" state="visible" r:id="rId10"/>
    <sheet name="_zuordnung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<sst xmlns="http://schemas.openxmlformats.org/spreadsheetml/2006/main" count="2175" uniqueCount="669">
  <si>
    <t xml:space="preserve">Preisliste für den Online-Angebotsrechner</t>
  </si>
  <si>
    <t xml:space="preserve">Elektrotechnik Ulshöfer GmbH · erstellt am 25.10.2026 aus der Preisverwaltung</t>
  </si>
  <si>
    <t xml:space="preserve">So ändern Sie Preise mit dieser Tabelle – ganz ohne fremde Hilfe</t>
  </si>
  <si>
    <t xml:space="preserve">1. Tragen Sie Ihre Werte nur in die gelben Zellen mit blauer Schrift ein (Nettopreise, Stunden, Ja/Nein).</t>
  </si>
  <si>
    <t xml:space="preserve">2. Graue Zellen rechnen automatisch (Bruttopreis, Arbeitslohn) – bitte nicht überschreiben.</t>
  </si>
  <si>
    <t xml:space="preserve">3. Neue Geräte tragen Sie in die freien gelben Zeilen unter der jeweiligen Tabelle ein. Ein Gerät, das Sie nicht mehr anbieten wollen: Spalte „Aktiv“ auf „Nein“.</t>
  </si>
  <si>
    <t xml:space="preserve">4. Datei speichern (als Excel-Datei .xlsx, Name beliebig).</t>
  </si>
  <si>
    <t xml:space="preserve">5. In der Preisverwaltung auf „Excel importieren“ klicken und diese Datei wählen. Die Preisverwaltung zeigt, was sich geändert hat.</t>
  </si>
  <si>
    <t xml:space="preserve">6. Änderungen prüfen und auf „Speichern“ klicken – fertig. Die Website rechnet sofort mit Ihren Preisen.</t>
  </si>
  <si>
    <t xml:space="preserve">Gut zu wissen</t>
  </si>
  <si>
    <t xml:space="preserve">• Alle Preise sind Nettopreise – außer im Blatt „Hausgeräte“: dort Bruttopreise wie im Laden.</t>
  </si>
  <si>
    <t xml:space="preserve">• Produktbilder werden in der Preisverwaltung hochgeladen; beim Import bleiben vorhandene Bilder erhalten.</t>
  </si>
  <si>
    <t xml:space="preserve">• Bitte keine Blätter, Spalten oder Überschriften verschieben oder löschen – sonst kann die Tabelle nicht mehr eingelesen werden.</t>
  </si>
  <si>
    <t xml:space="preserve">• Das ausgeblendete Blatt „_zuordnung“ wird für den Import benötigt.</t>
  </si>
  <si>
    <t xml:space="preserve">Legende</t>
  </si>
  <si>
    <t xml:space="preserve">Gelb mit blauer Schrift: Ihre Eingabe</t>
  </si>
  <si>
    <t xml:space="preserve">Grau: wird berechnet</t>
  </si>
  <si>
    <t xml:space="preserve">Allgemein</t>
  </si>
  <si>
    <t xml:space="preserve">Gelbe Zellen ändern. Bruttopreise und Arbeitslohn werden mit Stundensatz und MwSt. aus „Allgemein“ berechnet.</t>
  </si>
  <si>
    <t xml:space="preserve">Sichtbare Bereiche auf der Website</t>
  </si>
  <si>
    <t xml:space="preserve">Ausgeschaltet: Der Bereich erscheint weder im Rechner noch in der Schnellauswahl oder im Footer. Die Beschreibung unter „Leistungen“ bleibt sichtbar – mit dem Button „Beratung anfragen“.</t>
  </si>
  <si>
    <t xml:space="preserve">Bereich</t>
  </si>
  <si>
    <t xml:space="preserve">Sichtbar</t>
  </si>
  <si>
    <t xml:space="preserve">Wärmepumpe</t>
  </si>
  <si>
    <t xml:space="preserve">Ja</t>
  </si>
  <si>
    <t xml:space="preserve">Photovoltaik</t>
  </si>
  <si>
    <t xml:space="preserve">Klimaanlage</t>
  </si>
  <si>
    <t xml:space="preserve">Smart Home</t>
  </si>
  <si>
    <t xml:space="preserve">Elektroinstallation</t>
  </si>
  <si>
    <t xml:space="preserve">Hausgeräte (Online-Bestellung)</t>
  </si>
  <si>
    <t xml:space="preserve">Chat-Assistent</t>
  </si>
  <si>
    <t xml:space="preserve">Arbeitslohn und Angebot</t>
  </si>
  <si>
    <t xml:space="preserve">Position</t>
  </si>
  <si>
    <t xml:space="preserve">Wert</t>
  </si>
  <si>
    <t xml:space="preserve">Einheit</t>
  </si>
  <si>
    <t xml:space="preserve">Arbeitslohn netto</t>
  </si>
  <si>
    <t xml:space="preserve">Brutto inkl. MwSt.</t>
  </si>
  <si>
    <t xml:space="preserve">Stundensatz Monteur</t>
  </si>
  <si>
    <t xml:space="preserve">€/h</t>
  </si>
  <si>
    <t xml:space="preserve">Anfahrt (einmal pro Angebot)</t>
  </si>
  <si>
    <t xml:space="preserve">€</t>
  </si>
  <si>
    <t xml:space="preserve">MwSt.</t>
  </si>
  <si>
    <t xml:space="preserve">%</t>
  </si>
  <si>
    <t xml:space="preserve">Preisspanne „von … bis …“ ±</t>
  </si>
  <si>
    <t xml:space="preserve">Gültigkeit des Angebots</t>
  </si>
  <si>
    <t xml:space="preserve">Tage</t>
  </si>
  <si>
    <t xml:space="preserve">KfW-Förderung (Wärmepumpe, Programm 458)</t>
  </si>
  <si>
    <t xml:space="preserve">KfW-Regeln seit 21.07.2026. Der Klimageschwindigkeitsbonus sinkt auf 12 % ab 1.2.2027 und 8 % ab 1.8.2027. Die förderfähigen Kosten sinken jeweils zum 1.2. und 1.8. um 750 €.</t>
  </si>
  <si>
    <t xml:space="preserve">Grundförderung</t>
  </si>
  <si>
    <t xml:space="preserve">Klimageschwindigkeitsbonus</t>
  </si>
  <si>
    <t xml:space="preserve">Höchstfördersatz</t>
  </si>
  <si>
    <t xml:space="preserve">Höchstsatz bei Einkommen bis 30.000 €</t>
  </si>
  <si>
    <t xml:space="preserve">Max. förderfähige Kosten</t>
  </si>
  <si>
    <t xml:space="preserve">Auf der Website sichtbar</t>
  </si>
  <si>
    <t xml:space="preserve">Single-Split-Geräte (Set Innen- + Außengerät)</t>
  </si>
  <si>
    <t xml:space="preserve">Die Website wählt das kleinste Gerät, das für den Raum reicht, in der vom Kunden gewählten Klasse; bei gleicher Leistung das günstigste.</t>
  </si>
  <si>
    <t xml:space="preserve">Aktiv</t>
  </si>
  <si>
    <t xml:space="preserve">Hersteller</t>
  </si>
  <si>
    <t xml:space="preserve">Modell</t>
  </si>
  <si>
    <t xml:space="preserve">Leistung (kW)</t>
  </si>
  <si>
    <t xml:space="preserve">Klasse</t>
  </si>
  <si>
    <t xml:space="preserve">Bauart</t>
  </si>
  <si>
    <t xml:space="preserve">Nettopreis (€)</t>
  </si>
  <si>
    <t xml:space="preserve">Energieklasse Kühlen</t>
  </si>
  <si>
    <t xml:space="preserve">Energieklasse Heizen</t>
  </si>
  <si>
    <t xml:space="preserve">SEER (–)</t>
  </si>
  <si>
    <t xml:space="preserve">SCOP (–)</t>
  </si>
  <si>
    <t xml:space="preserve">Schalldruck Innengerät ab (dB(A))</t>
  </si>
  <si>
    <t xml:space="preserve">Kältemittel</t>
  </si>
  <si>
    <t xml:space="preserve">Link Energielabel</t>
  </si>
  <si>
    <t xml:space="preserve">Link Produktdatenblatt</t>
  </si>
  <si>
    <t xml:space="preserve">Bruttopreis (€)</t>
  </si>
  <si>
    <t xml:space="preserve">Toshiba</t>
  </si>
  <si>
    <t xml:space="preserve">Seiya RAS-B10E2KVG-E / RAS-10E2AVG-E</t>
  </si>
  <si>
    <t xml:space="preserve">Standard</t>
  </si>
  <si>
    <t xml:space="preserve">Wandgerät</t>
  </si>
  <si>
    <t xml:space="preserve">A++</t>
  </si>
  <si>
    <t xml:space="preserve">R32</t>
  </si>
  <si>
    <t xml:space="preserve">https://data.toshiba-klima.at/de/Seiya%20NEW%20-%202%2C50%20kW%20-%20R32%20-%20SET120%20-%20Home%20RAS-B10E2KVG-E%20-%20RAS-10E2AVG-E%20de.pdf</t>
  </si>
  <si>
    <t xml:space="preserve">Seiya RAS-B13E2KVG-E / RAS-13E2AVG-E</t>
  </si>
  <si>
    <t xml:space="preserve">https://data.toshiba-klima.at/de/Seiya%20NEW%20-%203%2C30%20kW%20-%20R32%20-%20SET120%20-%20Home%20RAS-B13E2KVG-E%20-%20RAS-13E2AVG-E%20de.pdf</t>
  </si>
  <si>
    <t xml:space="preserve">Seiya RAS-B16E2KVG-E / RAS-16E2AVG-E</t>
  </si>
  <si>
    <t xml:space="preserve">https://data.toshiba-klima.at/de/Seiya%20NEW%20-%204%2C20%20kW%20-%20R32%20-%20SET120%20-%20Home%20RAS-B16E2KVG-E%20-%20RAS-16E2AVG-E%20de.pdf</t>
  </si>
  <si>
    <t xml:space="preserve">Seiya RAS-B18E2KVG-E / RAS-18E2AVG-E</t>
  </si>
  <si>
    <t xml:space="preserve">A+</t>
  </si>
  <si>
    <t xml:space="preserve">https://data.toshiba-klima.at/de/Seiya%20NEW%20-%205%2C00%20kW%20-%20R32%20-%20SET120%20-%20Home%20RAS-B18E2KVG-E%20-%20RAS-18E2AVG-E%20de.pdf</t>
  </si>
  <si>
    <t xml:space="preserve">Seiya RAS-B24E2KVG-E / RAS-24E2AVG-E</t>
  </si>
  <si>
    <t xml:space="preserve">https://data.toshiba-klima.at/de/Seiya%20NEW%20-%206%2C50%20kW%20-%20R32%20-%20SET120%20-%20Home%20RAS-B24E2KVG-E%20-%20RAS-24E2AVG-E%20de.pdf</t>
  </si>
  <si>
    <t xml:space="preserve">Shorai Curve RAS-B10P2KVSG-E / RAS-10P2AVSG-E</t>
  </si>
  <si>
    <t xml:space="preserve">Premium</t>
  </si>
  <si>
    <t xml:space="preserve">A+++</t>
  </si>
  <si>
    <t xml:space="preserve">https://data.toshiba-klima.at/de/SHORAI%20CURVE%20WHITE%20-%202%2C50%20kW%20-%20R32%20-%20SET160%20-%20Home%20RAS-B10P2KVSG-E%20-%20RAS-10P2AVSG-E%20de.pdf</t>
  </si>
  <si>
    <t xml:space="preserve">Shorai Curve RAS-B13P2KVSG-E / RAS-13P2AVSG-E</t>
  </si>
  <si>
    <t xml:space="preserve">https://data.toshiba-klima.at/de/SHORAI%20CURVE%20WHITE%20-%203%2C50%20kW%20-%20R32%20-%20SET160%20-%20Home%20RAS-B13P2KVSG-E%20-%20RAS-13P2AVSG-E%20de.pdf</t>
  </si>
  <si>
    <t xml:space="preserve">Shorai Curve RAS-B16P2KVSG-E / RAS-16P2AVSG-E</t>
  </si>
  <si>
    <t xml:space="preserve">https://data.toshiba-klima.at/de/SHORAI%20CURVE%20WHITE%20-%204%2C60%20kW%20-%20R32%20-%20SET160%20-%20Home%20RAS-B16P2KVSG-E%20-%20RAS-16P2AVSG-E%20de.pdf</t>
  </si>
  <si>
    <t xml:space="preserve">Shorai Curve RAS-B18P2KVSG-E / RAS-18P2AVSG-E</t>
  </si>
  <si>
    <t xml:space="preserve">https://data.toshiba-klima.at/de/SHORAI%20CURVE%20WHITE%20-%205%2C00%20kW%20-%20R32%20-%20SET160%20-%20Home%20RAS-B18P2KVSG-E%20-%20RAS-18P2AVSG-E%20de.pdf</t>
  </si>
  <si>
    <t xml:space="preserve">Shorai Curve RAS-B22P2KVSG-E / RAS-22P2AVSG-E</t>
  </si>
  <si>
    <t xml:space="preserve">https://data.toshiba-klima.at/de/SHORAI%20CURVE%20WHITE%20-%206%2C10%20kW%20-%20R32%20-%20SET160%20-%20Home%20RAS-B22P2KVSG-E%20-%20RAS-22P2AVSG-E%20de.pdf</t>
  </si>
  <si>
    <t xml:space="preserve">Shorai Curve RAS-B24P2KVSG-E / RAS-24P2AVSG-E</t>
  </si>
  <si>
    <t xml:space="preserve">https://data.toshiba-klima.at/de/SHORAI%20CURVE%20WHITE%20-%207%2C00%20kW%20-%20R32%20-%20SET160%20-%20Home%20RAS-B24P2KVSG-E%20-%20RAS-24P2AVSG-E%20de.pdf</t>
  </si>
  <si>
    <t xml:space="preserve">Daiseikai 10 RAS-B10S4KVPG-E / RAS-10S4AVPG-E</t>
  </si>
  <si>
    <t xml:space="preserve">https://data.toshiba-klima.at/de/Daiseikai%2010%20-%20WHITE%20-%202%2C50%20kW%20-%20R32%20-%20SET145%20-%20Home%20RAS-B10S4KVPG-E%20-%20RAS-10S4AVPG-E%20de.pdf</t>
  </si>
  <si>
    <t xml:space="preserve">Daiseikai 10 RAS-B13S4KVPG-E / RAS-13S4AVPG-E</t>
  </si>
  <si>
    <t xml:space="preserve">https://data.toshiba-klima.at/de/Daiseikai%2010%20-%20WHITE%20-%203%2C50%20kW%20-%20R32%20-%20SET145%20-%20Home%20RAS-B13S4KVPG-E%20-%20RAS-13S4AVPG-E%20de.pdf</t>
  </si>
  <si>
    <t xml:space="preserve">Daiseikai 10 RAS-B18S4KVPG-E / RAS-18S4AVPG-E</t>
  </si>
  <si>
    <t xml:space="preserve">https://data.toshiba-klima.at/de/Daiseikai%2010%20-%20WHITE%20-%205%2C00%20kW%20-%20R32%20-%20SET145%20-%20Home%20RAS-B18S4KVPG-E%20-%20RAS-18S4AVPG-E%20de.pdf</t>
  </si>
  <si>
    <t xml:space="preserve">Seiya Classic 2 RAS-B10B2KVG-E2 / RAS-10B2AVG-E2</t>
  </si>
  <si>
    <t xml:space="preserve">https://data.toshiba-klima.at/de/Seiya%20%E2%80%93%20CLASSIC%202%20-%202%2C50%20kW%20-%20R32%20-%20SET152%20-%20Home%20RAS-B10B2KVG-E2%20-%20RAS-10B2AVG-E2%20de.pdf</t>
  </si>
  <si>
    <t xml:space="preserve">Seiya Classic 2 RAS-B13B2KVG-E2 / RAS-13B2AVG-E2</t>
  </si>
  <si>
    <t xml:space="preserve">https://data.toshiba-klima.at/de/Seiya%20%E2%80%93%20CLASSIC%202%20-%203%2C30%20kW%20-%20R32%20-%20SET152%20-%20Home%20RAS-B13B2KVG-E2%20-%20RAS-13B2AVG-E2%20de.pdf</t>
  </si>
  <si>
    <t xml:space="preserve">Seiya Classic 2 RAS-B16B2KVG-E2 / RAS-16B2AVG-E2</t>
  </si>
  <si>
    <t xml:space="preserve">https://data.toshiba-klima.at/de/Seiya%20%E2%80%93%20CLASSIC%202%20-%204%2C20%20kW%20-%20R32%20-%20SET152%20-%20Home%20RAS-B16B2KVG-E2%20-%20RAS-16B2AVG-E2%20de.pdf</t>
  </si>
  <si>
    <t xml:space="preserve">Seiya Classic 2 RAS-B18B2KVG-E2 / RAS-18B2AVG-E2</t>
  </si>
  <si>
    <t xml:space="preserve">https://data.toshiba-klima.at/de/Seiya%20%E2%80%93%20CLASSIC%202%20-%205%2C00%20kW%20-%20R32%20-%20SET152%20-%20Home%20RAS-B18B2KVG-E2%20-%20RAS-18B2AVG-E2%20de.pdf</t>
  </si>
  <si>
    <t xml:space="preserve">Seiya Classic 2 RAS-B24B2KVG-E2 / RAS-24B2AVG-E2</t>
  </si>
  <si>
    <t xml:space="preserve">https://data.toshiba-klima.at/de/Seiya%20%E2%80%93%20CLASSIC%202%20-%206%2C50%20kW%20-%20R32%20-%20SET152%20-%20Home%20RAS-B24B2KVG-E2%20-%20RAS-24B2AVG-E2%20de.pdf</t>
  </si>
  <si>
    <t xml:space="preserve">Shorai Curve Black RAS-B10P2KVSGB-E / RAS-10P2AVSG-E</t>
  </si>
  <si>
    <t xml:space="preserve">https://data.toshiba-klima.at/de/SHORAI%20CURVE%20BLACK%20-%202%2C50%20kW%20-%20R32%20-%20SET161%20-%20Home%20RAS-B10P2KVSGB-E%20-%20RAS-10P2AVSG-E%20de.pdf</t>
  </si>
  <si>
    <t xml:space="preserve">Shorai Curve Black RAS-B13P2KVSGB-E / RAS-13P2AVSG-E</t>
  </si>
  <si>
    <t xml:space="preserve">https://data.toshiba-klima.at/de/SHORAI%20CURVE%20BLACK%20-%203%2C50%20kW%20-%20R32%20-%20SET161%20-%20Home%20RAS-B13P2KVSGB-E%20-%20RAS-13P2AVSG-E%20de.pdf</t>
  </si>
  <si>
    <t xml:space="preserve">Shorai Curve Black RAS-B16P2KVSGB-E / RAS-16P2AVSG-E</t>
  </si>
  <si>
    <t xml:space="preserve">https://data.toshiba-klima.at/de/SHORAI%20CURVE%20BLACK%20-%204%2C60%20kW%20-%20R32%20-%20SET161%20-%20Home%20RAS-B16P2KVSGB-E%20-%20RAS-16P2AVSG-E%20de.pdf</t>
  </si>
  <si>
    <t xml:space="preserve">Shorai Curve Black RAS-B18P2KVSGB-E / RAS-18P2AVSG-E</t>
  </si>
  <si>
    <t xml:space="preserve">https://data.toshiba-klima.at/de/SHORAI%20CURVE%20BLACK%20-%205%2C00%20kW%20-%20R32%20-%20SET161%20-%20Home%20RAS-B18P2KVSGB-E%20-%20RAS-18P2AVSG-E%20de.pdf</t>
  </si>
  <si>
    <t xml:space="preserve">Shorai Curve Black RAS-B22P2KVSGB-E / RAS-22P2AVSG-E</t>
  </si>
  <si>
    <t xml:space="preserve">https://data.toshiba-klima.at/de/SHORAI%20CURVE%20BLACK%20-%206%2C10%20kW%20-%20R32%20-%20SET161%20-%20Home%20RAS-B22P2KVSGB-E%20-%20RAS-22P2AVSG-E%20de.pdf</t>
  </si>
  <si>
    <t xml:space="preserve">Shorai Curve Black RAS-B24P2KVSGB-E / RAS-24P2AVSG-E</t>
  </si>
  <si>
    <t xml:space="preserve">https://data.toshiba-klima.at/de/SHORAI%20CURVE%20BLACK%20-%207%2C00%20kW%20-%20R32%20-%20SET161%20-%20Home%20RAS-B24P2KVSGB-E%20-%20RAS-24P2AVSG-E%20de.pdf</t>
  </si>
  <si>
    <t xml:space="preserve">Haori RAS-B10N4KVRG-E2 / RAS-10P2AVSG-E</t>
  </si>
  <si>
    <t xml:space="preserve">https://data.toshiba-klima.at/de/HAORI%20-%202%2C50%20kW%20-%20R32%20-%20SET93%20-%20Home%20RAS-B10N4KVRG-E2%20-%20RAS-10P2AVSG-E%20de.pdf</t>
  </si>
  <si>
    <t xml:space="preserve">Haori RAS-B13N4KVRG-E1 / RAS-13P2AVSG-E</t>
  </si>
  <si>
    <t xml:space="preserve">https://data.toshiba-klima.at/de/HAORI%20-%203%2C50%20kW%20-%20R32%20-%20SET93%20-%20Home%20RAS-B13N4KVRG-E1%20-%20RAS-13P2AVSG-E%20de.pdf</t>
  </si>
  <si>
    <t xml:space="preserve">Haori RAS-B16N4KVRG-E1 / RAS-16P2AVSG-E</t>
  </si>
  <si>
    <t xml:space="preserve">https://data.toshiba-klima.at/de/HAORI%20-%204%2C60%20kW%20-%20R32%20-%20SET93%20-%20Home%20RAS-B16N4KVRG-E1%20-%20RAS-16P2AVSG-E%20de.pdf</t>
  </si>
  <si>
    <t xml:space="preserve">Daiseikai 10 Wood RAS-B10S4KVDG-E / RAS-10S4AVPG-E</t>
  </si>
  <si>
    <t xml:space="preserve">https://data.toshiba-klima.at/de/Daiseikai%2010%20-%20WOOD%20-%202%2C50%20kW%20-%20R32%20-%20SET144%20-%20Home%20RAS-B10S4KVDG-E%20-%20RAS-10S4AVPG-E%20de.pdf</t>
  </si>
  <si>
    <t xml:space="preserve">Daiseikai 10 Wood RAS-B13S4KVDG-E / RAS-13S4AVPG-E</t>
  </si>
  <si>
    <t xml:space="preserve">https://data.toshiba-klima.at/de/Daiseikai%2010%20-%20WOOD%20-%203%2C50%20kW%20-%20R32%20-%20SET144%20-%20Home%20RAS-B13S4KVDG-E%20-%20RAS-13S4AVPG-E%20de.pdf</t>
  </si>
  <si>
    <t xml:space="preserve">Daiseikai 10 Wood RAS-B18S4KVDG-E / RAS-18S4AVPG-E</t>
  </si>
  <si>
    <t xml:space="preserve">https://data.toshiba-klima.at/de/Daiseikai%2010%20-%20WOOD%20-%205%2C00%20kW%20-%20R32%20-%20SET144%20-%20Home%20RAS-B18S4KVDG-E%20-%20RAS-18S4AVPG-E%20de.pdf</t>
  </si>
  <si>
    <t xml:space="preserve">Konsole RAS-B10J2FVG-E1 / RAS-10P2AVSG-E</t>
  </si>
  <si>
    <t xml:space="preserve">Truhe/Konsole</t>
  </si>
  <si>
    <t xml:space="preserve">https://data.toshiba-klima.at/de/Console%20R32_R410A%20-%20R410_R32%20-%20SET75%20-%20Home%20RAS-B10J2FVG-E1%20-%20RAS-10P2AVSG-E%20de.pdf</t>
  </si>
  <si>
    <t xml:space="preserve">Konsole RAS-B13J2FVG-E1 / RAS-13P2AVSG-E</t>
  </si>
  <si>
    <t xml:space="preserve">https://www.toshiba-aircondition.com/files/aircond/img/estia/mo/deutsche-fotos-mo/HOME_RAS_Catalog_2026-2027_EN(US)_WEB.pdf#page=28</t>
  </si>
  <si>
    <t xml:space="preserve">Konsole RAS-B18J2FVG-E1 / RAS-18P2AVSG-E</t>
  </si>
  <si>
    <t xml:space="preserve">https://data.toshiba-klima.at/de/Console%20R32_R410A%20-%205%2C00%20kW%20-%20R410_R32%20-%20SET75%20-%20Home%20RAS-B18J2FVG-E1%20-%20RAS-18P2AVSG-E%20de.pdf</t>
  </si>
  <si>
    <t xml:space="preserve">Daikin</t>
  </si>
  <si>
    <t xml:space="preserve">Comfora FTXP25N / RXP25N</t>
  </si>
  <si>
    <t xml:space="preserve">https://www.daikin.de/de_de/produkte/product.table.html/FTXP-N9---RXP-N9.html</t>
  </si>
  <si>
    <t xml:space="preserve">Comfora FTXP35N / RXP35N</t>
  </si>
  <si>
    <t xml:space="preserve">Comfora FTXP50N / RXP50N</t>
  </si>
  <si>
    <t xml:space="preserve">https://www.daikin.de/de_de/produkte/product.table.html/FTXP-N9---RXP-N8.html</t>
  </si>
  <si>
    <t xml:space="preserve">Perfera FTXM25A / RXM25A</t>
  </si>
  <si>
    <t xml:space="preserve">https://www.daikin.de/de_de/produkte/product.table.html/FTXM-A---RXM-A9.html</t>
  </si>
  <si>
    <t xml:space="preserve">Perfera FTXM35A / RXM35A</t>
  </si>
  <si>
    <t xml:space="preserve">Perfera FTXM50A / RXM50A</t>
  </si>
  <si>
    <t xml:space="preserve">Mitsubishi Electric</t>
  </si>
  <si>
    <t xml:space="preserve">MSZ-AY25VGKP / MUZ-AY25VG</t>
  </si>
  <si>
    <t xml:space="preserve">https://www.mitsubishi-les.com/de-de/dam-upload/daswandgeraetmszaybroschuere.pdf?rev=346288</t>
  </si>
  <si>
    <t xml:space="preserve">MSZ-AY35VGKP / MUZ-AY35VG</t>
  </si>
  <si>
    <t xml:space="preserve">MSZ-AY42VGKP / MUZ-AY42VG</t>
  </si>
  <si>
    <t xml:space="preserve">MSZ-AY50VGKP / MUZ-AY50VG</t>
  </si>
  <si>
    <t xml:space="preserve">Freie gelbe Zeilen: hier neue Einträge eintragen.</t>
  </si>
  <si>
    <t xml:space="preserve">Multi-Split-Innengeräte</t>
  </si>
  <si>
    <t xml:space="preserve">Energieklasse und Energielabel gelten für die Kombination – sie werden beim Außengerät eingetragen.</t>
  </si>
  <si>
    <t xml:space="preserve">Seiya RAS-B10E2KVG-E (Multi)</t>
  </si>
  <si>
    <t xml:space="preserve">Seiya RAS-B13E2KVG-E (Multi)</t>
  </si>
  <si>
    <t xml:space="preserve">Seiya RAS-B16E2KVG-E (Multi)</t>
  </si>
  <si>
    <t xml:space="preserve">Shorai Curve RAS-M05P2KVSG-E (Multi)</t>
  </si>
  <si>
    <t xml:space="preserve">https://data.toshiba-klima.at/de/SHORAI%20CURVE%20WHITE%20-%201%2C50%20kW%20-%20R32%20-%20Home%20RAS-M05P2KVSG-E%20de.pdf</t>
  </si>
  <si>
    <t xml:space="preserve">Shorai Curve RAS-B10P2KVSG-E (Multi)</t>
  </si>
  <si>
    <t xml:space="preserve">Shorai Curve RAS-B13P2KVSG-E (Multi)</t>
  </si>
  <si>
    <t xml:space="preserve">Shorai Curve RAS-B16P2KVSG-E (Multi)</t>
  </si>
  <si>
    <t xml:space="preserve">Seiya Classic 2 RAS-B05B2KVG-E2 (Multi)</t>
  </si>
  <si>
    <t xml:space="preserve">https://www.toshiba-aircondition.com/files/aircond/img/estia/mo/deutsche-fotos-mo/HOME_RAS_Catalog_2026-2027_EN(US)_WEB.pdf#page=14</t>
  </si>
  <si>
    <t xml:space="preserve">Seiya Classic 2 RAS-B10B2KVG-E2 (Multi)</t>
  </si>
  <si>
    <t xml:space="preserve">Seiya Classic 2 RAS-B13B2KVG-E2 (Multi)</t>
  </si>
  <si>
    <t xml:space="preserve">Seiya Classic 2 RAS-B16B2KVG-E2 (Multi)</t>
  </si>
  <si>
    <t xml:space="preserve">Seiya Classic 2 RAS-B18B2KVG-E2 (Multi)</t>
  </si>
  <si>
    <t xml:space="preserve">Seiya Classic 2 RAS-B24B2KVG-E2 (Multi)</t>
  </si>
  <si>
    <t xml:space="preserve">Seiya RAS-B05E2KVG-E (Multi)</t>
  </si>
  <si>
    <t xml:space="preserve">https://www.toshiba-aircondition.com/files/aircond/img/estia/mo/deutsche-fotos-mo/HOME_RAS_Catalog_2026-2027_EN(US)_WEB.pdf#page=16</t>
  </si>
  <si>
    <t xml:space="preserve">Seiya RAS-B18E2KVG-E (Multi)</t>
  </si>
  <si>
    <t xml:space="preserve">Seiya RAS-B24E2KVG-E (Multi)</t>
  </si>
  <si>
    <t xml:space="preserve">Shorai Curve RAS-B18P2KVSG-E (Multi)</t>
  </si>
  <si>
    <t xml:space="preserve">https://www.toshiba-aircondition.com/files/aircond/img/estia/mo/deutsche-fotos-mo/HOME_RAS_Catalog_2026-2027_EN(US)_WEB.pdf#page=18</t>
  </si>
  <si>
    <t xml:space="preserve">Shorai Curve RAS-B22P2KVSG-E (Multi)</t>
  </si>
  <si>
    <t xml:space="preserve">Shorai Curve RAS-B24P2KVSG-E (Multi)</t>
  </si>
  <si>
    <t xml:space="preserve">Shorai Curve Black RAS-M05P2KVSGB-E (Multi)</t>
  </si>
  <si>
    <t xml:space="preserve">https://www.toshiba-aircondition.com/files/aircond/img/estia/mo/deutsche-fotos-mo/HOME_RAS_Catalog_2026-2027_EN(US)_WEB.pdf#page=20</t>
  </si>
  <si>
    <t xml:space="preserve">Shorai Curve Black RAS-B10P2KVSGB-E (Multi)</t>
  </si>
  <si>
    <t xml:space="preserve">Shorai Curve Black RAS-B13P2KVSGB-E (Multi)</t>
  </si>
  <si>
    <t xml:space="preserve">Shorai Curve Black RAS-B16P2KVSGB-E (Multi)</t>
  </si>
  <si>
    <t xml:space="preserve">Shorai Curve Black RAS-B18P2KVSGB-E (Multi)</t>
  </si>
  <si>
    <t xml:space="preserve">Shorai Curve Black RAS-B22P2KVSGB-E (Multi)</t>
  </si>
  <si>
    <t xml:space="preserve">Shorai Curve Black RAS-B24P2KVSGB-E (Multi)</t>
  </si>
  <si>
    <t xml:space="preserve">Haori RAS-B10N4KVRG-E2 (Multi)</t>
  </si>
  <si>
    <t xml:space="preserve">https://www.toshiba-aircondition.com/files/aircond/img/estia/mo/deutsche-fotos-mo/HOME_RAS_Catalog_2026-2027_EN(US)_WEB.pdf#page=22</t>
  </si>
  <si>
    <t xml:space="preserve">Haori RAS-B13N4KVRG-E1 (Multi)</t>
  </si>
  <si>
    <t xml:space="preserve">Haori RAS-B16N4KVRG-E1 (Multi)</t>
  </si>
  <si>
    <t xml:space="preserve">Daiseikai 10 RAS-B10S4KVPG-E (Multi)</t>
  </si>
  <si>
    <t xml:space="preserve">https://www.toshiba-aircondition.com/files/aircond/img/estia/mo/deutsche-fotos-mo/HOME_RAS_Catalog_2026-2027_EN(US)_WEB.pdf#page=24</t>
  </si>
  <si>
    <t xml:space="preserve">Daiseikai 10 RAS-B13S4KVPG-E (Multi)</t>
  </si>
  <si>
    <t xml:space="preserve">Daiseikai 10 RAS-B18S4KVPG-E (Multi)</t>
  </si>
  <si>
    <t xml:space="preserve">Daiseikai 10 Wood RAS-B10S4KVDG-E (Multi)</t>
  </si>
  <si>
    <t xml:space="preserve">https://www.toshiba-aircondition.com/files/aircond/img/estia/mo/deutsche-fotos-mo/HOME_RAS_Catalog_2026-2027_EN(US)_WEB.pdf#page=26</t>
  </si>
  <si>
    <t xml:space="preserve">Daiseikai 10 Wood RAS-B13S4KVDG-E (Multi)</t>
  </si>
  <si>
    <t xml:space="preserve">Daiseikai 10 Wood RAS-B18S4KVDG-E (Multi)</t>
  </si>
  <si>
    <t xml:space="preserve">Konsole RAS-B10J2FVG-E1 (Multi)</t>
  </si>
  <si>
    <t xml:space="preserve">Konsole RAS-B13J2FVG-E1 (Multi)</t>
  </si>
  <si>
    <t xml:space="preserve">Konsole RAS-B18J2FVG-E1 (Multi)</t>
  </si>
  <si>
    <t xml:space="preserve">Kanalgerät RAS-M10U2DVG-E (Multi)</t>
  </si>
  <si>
    <t xml:space="preserve">Kanalgerät</t>
  </si>
  <si>
    <t xml:space="preserve">https://data.toshiba-klima.at/de/Duct%20unit%20R32_R410A%20-%202%2C70%20kW%20-%20R410_R32%20-%20Home%20RAS-M10U2DVG-E%20de.pdf</t>
  </si>
  <si>
    <t xml:space="preserve">Kanalgerät RAS-M13U2DVG-E (Multi)</t>
  </si>
  <si>
    <t xml:space="preserve">https://data.toshiba-klima.at/de/Duct%20unit%20R32_R410A%20-%203%2C70%20kW%20-%20R410_R32%20-%20Home%20RAS-M13U2DVG-E%20de.pdf</t>
  </si>
  <si>
    <t xml:space="preserve">Kanalgerät RAS-M16U2DVG-E (Multi)</t>
  </si>
  <si>
    <t xml:space="preserve">https://data.toshiba-klima.at/de/Duct%20unit%20R32_R410A%20-%204%2C50%20kW%20-%20R410_R32%20-%20Home%20RAS-M16U2DVG-E%20de.pdf</t>
  </si>
  <si>
    <t xml:space="preserve">Kanalgerät RAS-M22U2DVG-E (Multi)</t>
  </si>
  <si>
    <t xml:space="preserve">https://data.toshiba-klima.at/de/Duct%20unit%20R32_R410A%20-%206%2C00%20kW%20-%20R410_R32%20-%20Home%20RAS-M22U2DVG-E%20de.pdf</t>
  </si>
  <si>
    <t xml:space="preserve">Kanalgerät RAS-M24U2DVG-E (Multi)</t>
  </si>
  <si>
    <t xml:space="preserve">https://data.toshiba-klima.at/de/Duct%20unit%20R32_R410A%20-%207%2C00%20kW%20-%20R410_R32%20-%20Home%20RAS-M24U2DVG-E%20de.pdf</t>
  </si>
  <si>
    <t xml:space="preserve">Kassette 60x60 RAS-M10S4MUVG-E (Multi)</t>
  </si>
  <si>
    <t xml:space="preserve">Kassette</t>
  </si>
  <si>
    <t xml:space="preserve">https://www.toshiba-aircondition.com/files/aircond/img/estia/mo/deutsche-fotos-mo/HOME_RAS_Catalog_2026-2027_EN(US)_WEB.pdf#page=31</t>
  </si>
  <si>
    <t xml:space="preserve">Kassette 60x60 RAS-M13S4MUVG-E (Multi)</t>
  </si>
  <si>
    <t xml:space="preserve">Kassette 60x60 RAS-M16S4MUVG-E (Multi)</t>
  </si>
  <si>
    <t xml:space="preserve">1-Wege-Flachkassette RAS-M05G3YVG-E (Multi)</t>
  </si>
  <si>
    <t xml:space="preserve">https://www.toshiba-aircondition.com/files/aircond/img/estia/mo/deutsche-fotos-mo/HOME_RAS_Catalog_2026-2027_EN(US)_WEB.pdf#page=32</t>
  </si>
  <si>
    <t xml:space="preserve">1-Wege-Flachkassette RAS-M10G3YVG-E (Multi)</t>
  </si>
  <si>
    <t xml:space="preserve">1-Wege-Flachkassette RAS-M13G3YVG-E (Multi)</t>
  </si>
  <si>
    <t xml:space="preserve">1-Wege-Flachkassette RAS-M16G3YVG-E (Multi)</t>
  </si>
  <si>
    <t xml:space="preserve">1-Wege-Flachkassette RAS-M24G3YVG-E (Multi)</t>
  </si>
  <si>
    <t xml:space="preserve">Comfora FTXP25N (Multi)</t>
  </si>
  <si>
    <t xml:space="preserve">https://www.daikin.de/de_de/produkte/product.table.html/FTXP-N9.html</t>
  </si>
  <si>
    <t xml:space="preserve">Comfora FTXP35N (Multi)</t>
  </si>
  <si>
    <t xml:space="preserve">Comfora FTXP50N (Multi)</t>
  </si>
  <si>
    <t xml:space="preserve">Perfera FTXM20A (Multi)</t>
  </si>
  <si>
    <t xml:space="preserve">https://www.daikin.de/de_de/produkte/product.table.html/FTXM-A.html</t>
  </si>
  <si>
    <t xml:space="preserve">Perfera FTXM25A (Multi)</t>
  </si>
  <si>
    <t xml:space="preserve">Perfera FTXM35A (Multi)</t>
  </si>
  <si>
    <t xml:space="preserve">Perfera FTXM42A (Multi)</t>
  </si>
  <si>
    <t xml:space="preserve">Perfera FTXM50A (Multi)</t>
  </si>
  <si>
    <t xml:space="preserve">Multi-Split-Außengeräte</t>
  </si>
  <si>
    <t xml:space="preserve">Anschlüsse (Stk.)</t>
  </si>
  <si>
    <t xml:space="preserve">RAS-2M10G3AVG-E</t>
  </si>
  <si>
    <t xml:space="preserve">https://www.toshiba-aircondition.com/files/aircond/img/estia/mo/deutsche-fotos-mo/HOME_RAS_Catalog_2026-2027_EN(US)_WEB.pdf#page=35</t>
  </si>
  <si>
    <t xml:space="preserve">RAS-2M14G3AVG-E</t>
  </si>
  <si>
    <t xml:space="preserve">https://data.toshiba-klima.at/de/Multisplit%20Next%20R32%20-%204%2C00%20kW%20-%20R32%20-%20Home%20RAS-2M14G3AVG-E%20de.pdf</t>
  </si>
  <si>
    <t xml:space="preserve">RAS-2M18G3AVG-E</t>
  </si>
  <si>
    <t xml:space="preserve">https://data.toshiba-klima.at/de/Multisplit%20Next%20R32%20-%205%2C20%20kW%20-%20R32%20-%20Home%20RAS-2M18G3AVG-E%20de.pdf</t>
  </si>
  <si>
    <t xml:space="preserve">RAS-3M18G3AVG-E</t>
  </si>
  <si>
    <t xml:space="preserve">https://data.toshiba-klima.at/de/Multisplit%20Next%20R32%20-%205%2C20%20kW%20-%20R32%20-%20Home%20RAS-3M18G3AVG-E%20de.pdf</t>
  </si>
  <si>
    <t xml:space="preserve">RAS-3M26G3AVG-E</t>
  </si>
  <si>
    <t xml:space="preserve">https://data.toshiba-klima.at/de/Multisplit%20Next%20R32%20-%207%2C00%20kW%20-%20R32%20-%20Home%20RAS-3M26G3AVG-E%20de.pdf</t>
  </si>
  <si>
    <t xml:space="preserve">RAS-4M27G3AVG-E</t>
  </si>
  <si>
    <t xml:space="preserve">https://data.toshiba-klima.at/de/Multisplit%20Next%20R32%20-%208%2C00%20kW%20-%20R32%20-%20Home%20RAS-4M27G3AVG-E%20de.pdf</t>
  </si>
  <si>
    <t xml:space="preserve">RAS-5M34G3AVG-E1</t>
  </si>
  <si>
    <t xml:space="preserve">https://data.toshiba-klima.at/de/Multisplit%20Next%20R32%20-%2010%2C00%20kW%20-%20R32%20-%20Home%20RAS-5M34G3AVG-E1%20de.pdf</t>
  </si>
  <si>
    <t xml:space="preserve">2MXM40A</t>
  </si>
  <si>
    <t xml:space="preserve">–</t>
  </si>
  <si>
    <t xml:space="preserve">https://www.daikin.de/de_de/produkte/product.table.html/2MXM-A9.html</t>
  </si>
  <si>
    <t xml:space="preserve">2MXM50A</t>
  </si>
  <si>
    <t xml:space="preserve">3MXM52A</t>
  </si>
  <si>
    <t xml:space="preserve">https://www.daikin.de/de_de/produkte/product.table.html/FTXM-A---3MXM-A9.html</t>
  </si>
  <si>
    <t xml:space="preserve">3MXM68A</t>
  </si>
  <si>
    <t xml:space="preserve">https://www.daikin.de/de_de/produkte/product.table.html/3MXM-A9.html</t>
  </si>
  <si>
    <t xml:space="preserve">4MXM80A</t>
  </si>
  <si>
    <t xml:space="preserve">https://www.daikin.de/de_de/produkte/product.table.html/4MXM-A9.html</t>
  </si>
  <si>
    <t xml:space="preserve">5MXM90A</t>
  </si>
  <si>
    <t xml:space="preserve">https://www.daikin.de/de_de/produkte/product.table.html/5MXM-A9.html</t>
  </si>
  <si>
    <t xml:space="preserve">Arbeitszeit (Stunden)</t>
  </si>
  <si>
    <t xml:space="preserve">Montage Single-Split komplett</t>
  </si>
  <si>
    <t xml:space="preserve">Std.</t>
  </si>
  <si>
    <t xml:space="preserve">Montage Multi-Split: Grundpauschale</t>
  </si>
  <si>
    <t xml:space="preserve">… je Innengerät</t>
  </si>
  <si>
    <t xml:space="preserve">Mehrlänge Kältemittelleitung, pro Meter</t>
  </si>
  <si>
    <t xml:space="preserve">Kernbohrung, pro Loch</t>
  </si>
  <si>
    <t xml:space="preserve">Kondensatpumpe, pro Stück</t>
  </si>
  <si>
    <t xml:space="preserve">Eigener Stromkreis</t>
  </si>
  <si>
    <t xml:space="preserve">Boden-/Dachkonsole</t>
  </si>
  <si>
    <t xml:space="preserve">Material (netto)</t>
  </si>
  <si>
    <t xml:space="preserve">Grundmaterial Single-Split (3 m Leitung, Wandkonsole, Kabelkanal)</t>
  </si>
  <si>
    <t xml:space="preserve">Grundmaterial je Multi-Innengerät</t>
  </si>
  <si>
    <t xml:space="preserve">Bodenkonsole</t>
  </si>
  <si>
    <t xml:space="preserve">Flachdachgestell</t>
  </si>
  <si>
    <t xml:space="preserve">Kondensatpumpe</t>
  </si>
  <si>
    <t xml:space="preserve">Eigener Stromkreis (Material)</t>
  </si>
  <si>
    <t xml:space="preserve">Sonstiges</t>
  </si>
  <si>
    <t xml:space="preserve">Wartungsvertrag pro Jahr (brutto)</t>
  </si>
  <si>
    <t xml:space="preserve">Leistung pro m² Raumfläche</t>
  </si>
  <si>
    <t xml:space="preserve">kW</t>
  </si>
  <si>
    <t xml:space="preserve">Geräte (Luft-Wasser-Wärmepumpen)</t>
  </si>
  <si>
    <t xml:space="preserve">Die Website wählt das kleinste Gerät, das die Heizlast deckt; der Kunde kann nach Hersteller filtern.</t>
  </si>
  <si>
    <t xml:space="preserve">Energieklasse (55 °C)</t>
  </si>
  <si>
    <t xml:space="preserve">Dimplex</t>
  </si>
  <si>
    <t xml:space="preserve">System M Comfort Plus 4–6 kW (Split)</t>
  </si>
  <si>
    <t xml:space="preserve">LA 9S-TUR (Monoblock außen)</t>
  </si>
  <si>
    <t xml:space="preserve">LA 0712C (Monoblock außen)</t>
  </si>
  <si>
    <t xml:space="preserve">M Flex 0916HBC (Split, 9–16 kW)</t>
  </si>
  <si>
    <t xml:space="preserve">LA 1118C (Monoblock außen)</t>
  </si>
  <si>
    <t xml:space="preserve">Montage, hydraulischer Abgleich, Inbetriebnahme</t>
  </si>
  <si>
    <t xml:space="preserve">Demontage Ölkessel</t>
  </si>
  <si>
    <t xml:space="preserve">Demontage Gaskessel</t>
  </si>
  <si>
    <t xml:space="preserve">Demontage Nachtspeicheröfen</t>
  </si>
  <si>
    <t xml:space="preserve">Heizkörpertausch, pro Stück</t>
  </si>
  <si>
    <t xml:space="preserve">Zählerschrank</t>
  </si>
  <si>
    <t xml:space="preserve">Hydraulikpaket (Puffer, Warmwasserspeicher, Anschlüsse)</t>
  </si>
  <si>
    <t xml:space="preserve">Entsorgung Heizöl und Tankreinigung</t>
  </si>
  <si>
    <t xml:space="preserve">Entsorgung Gaskessel</t>
  </si>
  <si>
    <t xml:space="preserve">Entsorgung Nachtspeicheröfen</t>
  </si>
  <si>
    <t xml:space="preserve">Niedertemperatur-Heizkörper</t>
  </si>
  <si>
    <t xml:space="preserve">Zählerplatz Wärmepumpe</t>
  </si>
  <si>
    <t xml:space="preserve">Berechnung</t>
  </si>
  <si>
    <t xml:space="preserve">Warmwasser: Zusatzleistung pro Person</t>
  </si>
  <si>
    <t xml:space="preserve">Module</t>
  </si>
  <si>
    <t xml:space="preserve">Die Website verwendet das erste Modul der Liste. Mit ↑ schieben Sie ein Modul nach oben.</t>
  </si>
  <si>
    <t xml:space="preserve">Leistung (Wp)</t>
  </si>
  <si>
    <t xml:space="preserve">Preis pro Modul (€)</t>
  </si>
  <si>
    <t xml:space="preserve">Aiko</t>
  </si>
  <si>
    <t xml:space="preserve">Neostar 2P 450 Wp Glas-Glas</t>
  </si>
  <si>
    <t xml:space="preserve">Meyer Burger</t>
  </si>
  <si>
    <t xml:space="preserve">Glass 400 Wp</t>
  </si>
  <si>
    <t xml:space="preserve">Wechselrichter</t>
  </si>
  <si>
    <t xml:space="preserve">Gewählt wird der kleinste Wechselrichter mit mindestens 80 % der Modulleistung.</t>
  </si>
  <si>
    <t xml:space="preserve">Fronius</t>
  </si>
  <si>
    <t xml:space="preserve">Primo GEN24 4.0 Plus</t>
  </si>
  <si>
    <t xml:space="preserve">Primo GEN24 6.0 Plus</t>
  </si>
  <si>
    <t xml:space="preserve">Symo GEN24 8.0 Plus</t>
  </si>
  <si>
    <t xml:space="preserve">Symo GEN24 10.0 Plus</t>
  </si>
  <si>
    <t xml:space="preserve">Tauro 15-3-P</t>
  </si>
  <si>
    <t xml:space="preserve">Speicher</t>
  </si>
  <si>
    <t xml:space="preserve">Der Kunde wählt einen dieser Speicher oder keinen.</t>
  </si>
  <si>
    <t xml:space="preserve">Kapazität (kWh)</t>
  </si>
  <si>
    <t xml:space="preserve">BYD</t>
  </si>
  <si>
    <t xml:space="preserve">Battery-Box Premium HVS 5.1</t>
  </si>
  <si>
    <t xml:space="preserve">Battery-Box Premium HVS 7.7</t>
  </si>
  <si>
    <t xml:space="preserve">Battery-Box Premium HVS 10.2</t>
  </si>
  <si>
    <t xml:space="preserve">Wallbox</t>
  </si>
  <si>
    <t xml:space="preserve">Die Wallbox-Modelle werden im Reiter „Elektroinstallation“ gepflegt (gemeinsame Liste).</t>
  </si>
  <si>
    <t xml:space="preserve">Montagestunden Wallbox mit PV</t>
  </si>
  <si>
    <t xml:space="preserve">Montage: Grundpauschale</t>
  </si>
  <si>
    <t xml:space="preserve">… je Modul</t>
  </si>
  <si>
    <t xml:space="preserve">Montage Speicher</t>
  </si>
  <si>
    <t xml:space="preserve">Notstromfunktion</t>
  </si>
  <si>
    <t xml:space="preserve">Unterkonstruktion, pro Modul</t>
  </si>
  <si>
    <t xml:space="preserve">DC/AC-Verkabelung, Schutzeinrichtungen, Kleinmaterial</t>
  </si>
  <si>
    <t xml:space="preserve">Gerüst / Absturzsicherung</t>
  </si>
  <si>
    <t xml:space="preserve">Anpassung Zählerschrank</t>
  </si>
  <si>
    <t xml:space="preserve">Anmeldung Netzbetreiber und MaStR</t>
  </si>
  <si>
    <t xml:space="preserve">Notstrom-Umschalter</t>
  </si>
  <si>
    <t xml:space="preserve">Ertragsberechnung</t>
  </si>
  <si>
    <t xml:space="preserve">Jahresertrag pro kWp (Südausrichtung)</t>
  </si>
  <si>
    <t xml:space="preserve">kWh</t>
  </si>
  <si>
    <t xml:space="preserve">Strompreis des Kunden</t>
  </si>
  <si>
    <t xml:space="preserve">€/kWh</t>
  </si>
  <si>
    <t xml:space="preserve">Einspeisevergütung</t>
  </si>
  <si>
    <t xml:space="preserve">System Loxone</t>
  </si>
  <si>
    <t xml:space="preserve">Bezeichnung im Angebot</t>
  </si>
  <si>
    <t xml:space="preserve">Loxone (Miniserver, Tree/Air)</t>
  </si>
  <si>
    <t xml:space="preserve">Zentrale / Grundausstattung – Material</t>
  </si>
  <si>
    <t xml:space="preserve">Zentrale / Grundausstattung – Stunden</t>
  </si>
  <si>
    <t xml:space="preserve">Licht, pro Raum – Material</t>
  </si>
  <si>
    <t xml:space="preserve">Licht, pro Raum – Stunden</t>
  </si>
  <si>
    <t xml:space="preserve">Heizung, pro Raum – Material</t>
  </si>
  <si>
    <t xml:space="preserve">Heizung, pro Raum – Stunden</t>
  </si>
  <si>
    <t xml:space="preserve">Rollladen, pro Stück – Material</t>
  </si>
  <si>
    <t xml:space="preserve">Rollladen, pro Stück – Stunden</t>
  </si>
  <si>
    <t xml:space="preserve">Sicherheitspaket – Material</t>
  </si>
  <si>
    <t xml:space="preserve">Sicherheitspaket – Stunden</t>
  </si>
  <si>
    <t xml:space="preserve">System Funk</t>
  </si>
  <si>
    <t xml:space="preserve">Homematic IP (Funk)</t>
  </si>
  <si>
    <t xml:space="preserve">System KNX</t>
  </si>
  <si>
    <t xml:space="preserve">KNX (Gira / ABB)</t>
  </si>
  <si>
    <t xml:space="preserve">Hausgeräte</t>
  </si>
  <si>
    <t xml:space="preserve">Preise BRUTTO (inkl. MwSt.). Gelbe Zellen ändern, freie Zeilen für neue Produkte nutzen.</t>
  </si>
  <si>
    <t xml:space="preserve">Partner / Marken</t>
  </si>
  <si>
    <t xml:space="preserve">Ausgeschaltete Marken verschwinden mitsamt ihren Produkten aus der Online-Bestellung.</t>
  </si>
  <si>
    <t xml:space="preserve">Name</t>
  </si>
  <si>
    <t xml:space="preserve">Siemens Hausgeräte</t>
  </si>
  <si>
    <t xml:space="preserve">Miele</t>
  </si>
  <si>
    <t xml:space="preserve">Liebherr</t>
  </si>
  <si>
    <t xml:space="preserve">Produkte</t>
  </si>
  <si>
    <t xml:space="preserve">Preise BRUTTO (inkl. MwSt.) wie im Laden. Bild am besten quadratisch mit weißem Hintergrund; es wird automatisch verkleinert.</t>
  </si>
  <si>
    <t xml:space="preserve">Kategorie</t>
  </si>
  <si>
    <t xml:space="preserve">Kurzbeschreibung</t>
  </si>
  <si>
    <t xml:space="preserve">Anschluss/Montage brutto (€)</t>
  </si>
  <si>
    <t xml:space="preserve">Energieklasse</t>
  </si>
  <si>
    <t xml:space="preserve">Label-Skala</t>
  </si>
  <si>
    <t xml:space="preserve">Waschmaschine</t>
  </si>
  <si>
    <t xml:space="preserve">iQ300 Waschmaschine 8 kg</t>
  </si>
  <si>
    <t xml:space="preserve">Beispielprodukt – Ausstattung und Preis folgen</t>
  </si>
  <si>
    <t xml:space="preserve">A</t>
  </si>
  <si>
    <t xml:space="preserve">A–G (nuova)</t>
  </si>
  <si>
    <t xml:space="preserve">iQ500 Waschmaschine 9 kg</t>
  </si>
  <si>
    <t xml:space="preserve">Wäschetrockner</t>
  </si>
  <si>
    <t xml:space="preserve">iQ500 Wärmepumpentrockner 8 kg</t>
  </si>
  <si>
    <t xml:space="preserve">A+++–D</t>
  </si>
  <si>
    <t xml:space="preserve">Geschirrspüler</t>
  </si>
  <si>
    <t xml:space="preserve">iQ300 Einbau-Geschirrspüler 60 cm</t>
  </si>
  <si>
    <t xml:space="preserve">C</t>
  </si>
  <si>
    <t xml:space="preserve">Backofen &amp; Herd</t>
  </si>
  <si>
    <t xml:space="preserve">iQ500 Einbau-Backofen</t>
  </si>
  <si>
    <t xml:space="preserve">Kühlen &amp; Gefrieren</t>
  </si>
  <si>
    <t xml:space="preserve">iQ300 Kühl-Gefrier-Kombination</t>
  </si>
  <si>
    <t xml:space="preserve">Waschmaschine W1 (Beispiel)</t>
  </si>
  <si>
    <t xml:space="preserve">Kühl-Gefrier-Kombination (Beispiel)</t>
  </si>
  <si>
    <t xml:space="preserve">Leistungen</t>
  </si>
  <si>
    <t xml:space="preserve">Lieferung pro Gerät (brutto)</t>
  </si>
  <si>
    <t xml:space="preserve">Altgerät-Mitnahme pro Gerät (brutto)</t>
  </si>
  <si>
    <t xml:space="preserve">Lieferzeit (Text für den Kunden)</t>
  </si>
  <si>
    <t xml:space="preserve">In der Regel 3–10 Werktage, Liefertermin nach Absprache.</t>
  </si>
  <si>
    <t xml:space="preserve">Liefergebiet (Text für den Kunden)</t>
  </si>
  <si>
    <t xml:space="preserve">Lauda-Königshofen und Umgebung – andere Orte auf Anfrage.</t>
  </si>
  <si>
    <t xml:space="preserve">Zahlungsarten (Text für den Kunden)</t>
  </si>
  <si>
    <t xml:space="preserve">Überweisung nach Erhalt der Rechnung oder Barzahlung bzw. EC-Karte bei Abholung im Fachgeschäft.</t>
  </si>
  <si>
    <t xml:space="preserve">Installation pro m²</t>
  </si>
  <si>
    <t xml:space="preserve">Neubau – Material pro m²</t>
  </si>
  <si>
    <t xml:space="preserve">Neubau – Stunden pro m²</t>
  </si>
  <si>
    <t xml:space="preserve">Komplettsanierung – Material pro m²</t>
  </si>
  <si>
    <t xml:space="preserve">Komplettsanierung – Stunden pro m²</t>
  </si>
  <si>
    <t xml:space="preserve">Teilsanierung – Material pro m²</t>
  </si>
  <si>
    <t xml:space="preserve">Teilsanierung – Stunden pro m²</t>
  </si>
  <si>
    <t xml:space="preserve">Einzelpositionen</t>
  </si>
  <si>
    <t xml:space="preserve">Neuer Zählerschrank – Material</t>
  </si>
  <si>
    <t xml:space="preserve">Neuer Zählerschrank – Stunden</t>
  </si>
  <si>
    <t xml:space="preserve">Netzwerkdose – Material</t>
  </si>
  <si>
    <t xml:space="preserve">Netzwerkdose – Stunden</t>
  </si>
  <si>
    <t xml:space="preserve">Überspannungsschutz – Material</t>
  </si>
  <si>
    <t xml:space="preserve">Überspannungsschutz – Stunden</t>
  </si>
  <si>
    <t xml:space="preserve">E-CHECK – Material</t>
  </si>
  <si>
    <t xml:space="preserve">E-CHECK – Stunden</t>
  </si>
  <si>
    <t xml:space="preserve">Wallboxen (für Elektroinstallation und Photovoltaik)</t>
  </si>
  <si>
    <t xml:space="preserve">Der Kunde wählt die Wallbox im Rechner. Angeboten werden nur aktive Modelle.</t>
  </si>
  <si>
    <t xml:space="preserve">Wattpilot Home 11 J</t>
  </si>
  <si>
    <t xml:space="preserve">ABL</t>
  </si>
  <si>
    <t xml:space="preserve">eMH1 11 kW</t>
  </si>
  <si>
    <t xml:space="preserve">Mennekes</t>
  </si>
  <si>
    <t xml:space="preserve">AMTRON Compact 2.0s 11</t>
  </si>
  <si>
    <t xml:space="preserve">Heidelberg</t>
  </si>
  <si>
    <t xml:space="preserve">Energy Control</t>
  </si>
  <si>
    <t xml:space="preserve">Montage Wallbox</t>
  </si>
  <si>
    <t xml:space="preserve">Montagestunden (inkl. Zuleitung und Anmeldung)</t>
  </si>
  <si>
    <t xml:space="preserve">V</t>
  </si>
  <si>
    <t xml:space="preserve">B7</t>
  </si>
  <si>
    <t xml:space="preserve">wp</t>
  </si>
  <si>
    <t xml:space="preserve">B8</t>
  </si>
  <si>
    <t xml:space="preserve">pv</t>
  </si>
  <si>
    <t xml:space="preserve">B9</t>
  </si>
  <si>
    <t xml:space="preserve">klima</t>
  </si>
  <si>
    <t xml:space="preserve">B10</t>
  </si>
  <si>
    <t xml:space="preserve">smart</t>
  </si>
  <si>
    <t xml:space="preserve">B11</t>
  </si>
  <si>
    <t xml:space="preserve">elektro</t>
  </si>
  <si>
    <t xml:space="preserve">B12</t>
  </si>
  <si>
    <t xml:space="preserve">shop</t>
  </si>
  <si>
    <t xml:space="preserve">B13</t>
  </si>
  <si>
    <t xml:space="preserve">chat</t>
  </si>
  <si>
    <t xml:space="preserve">F</t>
  </si>
  <si>
    <t xml:space="preserve">B17</t>
  </si>
  <si>
    <t xml:space="preserve">allgemein.stundensatz</t>
  </si>
  <si>
    <t xml:space="preserve">num</t>
  </si>
  <si>
    <t xml:space="preserve">B18</t>
  </si>
  <si>
    <t xml:space="preserve">allgemein.anfahrt</t>
  </si>
  <si>
    <t xml:space="preserve">B19</t>
  </si>
  <si>
    <t xml:space="preserve">allgemein.mwst</t>
  </si>
  <si>
    <t xml:space="preserve">pct</t>
  </si>
  <si>
    <t xml:space="preserve">B20</t>
  </si>
  <si>
    <t xml:space="preserve">allgemein.spanne</t>
  </si>
  <si>
    <t xml:space="preserve">B21</t>
  </si>
  <si>
    <t xml:space="preserve">allgemein.gueltig_tage</t>
  </si>
  <si>
    <t xml:space="preserve">B26</t>
  </si>
  <si>
    <t xml:space="preserve">foerderung.grund</t>
  </si>
  <si>
    <t xml:space="preserve">B27</t>
  </si>
  <si>
    <t xml:space="preserve">foerderung.kgb</t>
  </si>
  <si>
    <t xml:space="preserve">B28</t>
  </si>
  <si>
    <t xml:space="preserve">foerderung.max</t>
  </si>
  <si>
    <t xml:space="preserve">B29</t>
  </si>
  <si>
    <t xml:space="preserve">foerderung.max_einkommen</t>
  </si>
  <si>
    <t xml:space="preserve">B30</t>
  </si>
  <si>
    <t xml:space="preserve">foerderung.kosten_max</t>
  </si>
  <si>
    <t xml:space="preserve">B4</t>
  </si>
  <si>
    <t xml:space="preserve">T</t>
  </si>
  <si>
    <t xml:space="preserve">9:57</t>
  </si>
  <si>
    <t xml:space="preserve">klima.geraete_single</t>
  </si>
  <si>
    <t xml:space="preserve">aktiv|bool,hersteller|text,modell|text,kw|num,klasse|sel|std=Standard;pre=Premium,bauform|sel|wand=Wandgerät;truhe=Truhe/Konsole;kassette=Kassette;kanal=Kanalgerät,preis|num,ek_kuehl|sel|=–;A+++=A+++;A++=A++;A+=A+;A=A;B=B;C=C;D=D,ek_heiz|sel|=–;A+++=A+++;A++=A++;A+=A+;A=A;B=B;C=C;D=D,seer|num,scop|num,schall|num,kaeltemittel|text,label|text,datenblatt|text</t>
  </si>
  <si>
    <t xml:space="preserve">63:126</t>
  </si>
  <si>
    <t xml:space="preserve">klima.innengeraete_multi</t>
  </si>
  <si>
    <t xml:space="preserve">aktiv|bool,hersteller|text,modell|text,kw|num,klasse|sel|std=Standard;pre=Premium,bauform|sel|wand=Wandgerät;truhe=Truhe/Konsole;kassette=Kassette;kanal=Kanalgerät,preis|num,schall|num,kaeltemittel|text,datenblatt|text</t>
  </si>
  <si>
    <t xml:space="preserve">131:148</t>
  </si>
  <si>
    <t xml:space="preserve">klima.aussengeraete_multi</t>
  </si>
  <si>
    <t xml:space="preserve">aktiv|bool,hersteller|text,modell|text,anschluesse|num,kw|num,preis|num,ek_kuehl|sel|=–;A+++=A+++;A++=A++;A+=A+;A=A;B=B;C=C;D=D,ek_heiz|sel|=–;A+++=A+++;A++=A++;A+=A+;A=A;B=B;C=C;D=D,seer|num,scop|num,kaeltemittel|text,label|text,datenblatt|text</t>
  </si>
  <si>
    <t xml:space="preserve">B153</t>
  </si>
  <si>
    <t xml:space="preserve">klima.arbeit.single_h</t>
  </si>
  <si>
    <t xml:space="preserve">B154</t>
  </si>
  <si>
    <t xml:space="preserve">klima.arbeit.multi_basis_h</t>
  </si>
  <si>
    <t xml:space="preserve">B155</t>
  </si>
  <si>
    <t xml:space="preserve">klima.arbeit.multi_je_innen_h</t>
  </si>
  <si>
    <t xml:space="preserve">B156</t>
  </si>
  <si>
    <t xml:space="preserve">klima.arbeit.leitung_m_h</t>
  </si>
  <si>
    <t xml:space="preserve">B157</t>
  </si>
  <si>
    <t xml:space="preserve">klima.arbeit.kernbohrung_h</t>
  </si>
  <si>
    <t xml:space="preserve">B158</t>
  </si>
  <si>
    <t xml:space="preserve">klima.arbeit.pumpe_h</t>
  </si>
  <si>
    <t xml:space="preserve">B159</t>
  </si>
  <si>
    <t xml:space="preserve">klima.arbeit.stromkreis_h</t>
  </si>
  <si>
    <t xml:space="preserve">B160</t>
  </si>
  <si>
    <t xml:space="preserve">klima.arbeit.konsole_h</t>
  </si>
  <si>
    <t xml:space="preserve">B164</t>
  </si>
  <si>
    <t xml:space="preserve">klima.material.grund_single</t>
  </si>
  <si>
    <t xml:space="preserve">B165</t>
  </si>
  <si>
    <t xml:space="preserve">klima.material.grund_je_innen</t>
  </si>
  <si>
    <t xml:space="preserve">B166</t>
  </si>
  <si>
    <t xml:space="preserve">klima.material.leitung_m</t>
  </si>
  <si>
    <t xml:space="preserve">B167</t>
  </si>
  <si>
    <t xml:space="preserve">klima.material.bodenkonsole</t>
  </si>
  <si>
    <t xml:space="preserve">B168</t>
  </si>
  <si>
    <t xml:space="preserve">klima.material.dachgestell</t>
  </si>
  <si>
    <t xml:space="preserve">B169</t>
  </si>
  <si>
    <t xml:space="preserve">klima.material.kernbohrung</t>
  </si>
  <si>
    <t xml:space="preserve">B170</t>
  </si>
  <si>
    <t xml:space="preserve">klima.material.pumpe</t>
  </si>
  <si>
    <t xml:space="preserve">B171</t>
  </si>
  <si>
    <t xml:space="preserve">klima.material.stromkreis</t>
  </si>
  <si>
    <t xml:space="preserve">B175</t>
  </si>
  <si>
    <t xml:space="preserve">klima.wartung_jahr</t>
  </si>
  <si>
    <t xml:space="preserve">B176</t>
  </si>
  <si>
    <t xml:space="preserve">klima.kw_je_m2</t>
  </si>
  <si>
    <t xml:space="preserve">9:18</t>
  </si>
  <si>
    <t xml:space="preserve">wp.geraete</t>
  </si>
  <si>
    <t xml:space="preserve">aktiv|bool,hersteller|text,modell|text,kw|num,preis|num,ek|sel|=–;A+++=A+++;A++=A++;A+=A+;A=A;B=B;C=C;D=D,label|text,datenblatt|text</t>
  </si>
  <si>
    <t xml:space="preserve">B23</t>
  </si>
  <si>
    <t xml:space="preserve">wp.arbeit.montage_h</t>
  </si>
  <si>
    <t xml:space="preserve">B24</t>
  </si>
  <si>
    <t xml:space="preserve">wp.arbeit.demontage_oel_h</t>
  </si>
  <si>
    <t xml:space="preserve">B25</t>
  </si>
  <si>
    <t xml:space="preserve">wp.arbeit.demontage_gas_h</t>
  </si>
  <si>
    <t xml:space="preserve">wp.arbeit.demontage_ns_h</t>
  </si>
  <si>
    <t xml:space="preserve">wp.arbeit.heizkoerper_h</t>
  </si>
  <si>
    <t xml:space="preserve">wp.arbeit.zaehler_h</t>
  </si>
  <si>
    <t xml:space="preserve">B32</t>
  </si>
  <si>
    <t xml:space="preserve">wp.material.hydraulik_paket</t>
  </si>
  <si>
    <t xml:space="preserve">B33</t>
  </si>
  <si>
    <t xml:space="preserve">wp.material.entsorgung_oel</t>
  </si>
  <si>
    <t xml:space="preserve">B34</t>
  </si>
  <si>
    <t xml:space="preserve">wp.material.entsorgung_gas</t>
  </si>
  <si>
    <t xml:space="preserve">B35</t>
  </si>
  <si>
    <t xml:space="preserve">wp.material.entsorgung_ns</t>
  </si>
  <si>
    <t xml:space="preserve">B36</t>
  </si>
  <si>
    <t xml:space="preserve">wp.material.heizkoerper</t>
  </si>
  <si>
    <t xml:space="preserve">B37</t>
  </si>
  <si>
    <t xml:space="preserve">wp.material.zaehler</t>
  </si>
  <si>
    <t xml:space="preserve">B41</t>
  </si>
  <si>
    <t xml:space="preserve">wp.ww_kw_je_person</t>
  </si>
  <si>
    <t xml:space="preserve">9:15</t>
  </si>
  <si>
    <t xml:space="preserve">pv.module</t>
  </si>
  <si>
    <t xml:space="preserve">aktiv|bool,hersteller|text,modell|text,wp|num,preis|num</t>
  </si>
  <si>
    <t xml:space="preserve">21:30</t>
  </si>
  <si>
    <t xml:space="preserve">pv.wechselrichter</t>
  </si>
  <si>
    <t xml:space="preserve">aktiv|bool,hersteller|text,modell|text,kw|num,preis|num</t>
  </si>
  <si>
    <t xml:space="preserve">36:43</t>
  </si>
  <si>
    <t xml:space="preserve">pv.speicher</t>
  </si>
  <si>
    <t xml:space="preserve">aktiv|bool,hersteller|text,modell|text,kwh|num,preis|num</t>
  </si>
  <si>
    <t xml:space="preserve">B49</t>
  </si>
  <si>
    <t xml:space="preserve">pv.wallbox_h</t>
  </si>
  <si>
    <t xml:space="preserve">B53</t>
  </si>
  <si>
    <t xml:space="preserve">pv.arbeit.basis_h</t>
  </si>
  <si>
    <t xml:space="preserve">B54</t>
  </si>
  <si>
    <t xml:space="preserve">pv.arbeit.je_modul_h</t>
  </si>
  <si>
    <t xml:space="preserve">B55</t>
  </si>
  <si>
    <t xml:space="preserve">pv.arbeit.speicher_h</t>
  </si>
  <si>
    <t xml:space="preserve">B56</t>
  </si>
  <si>
    <t xml:space="preserve">pv.arbeit.notstrom_h</t>
  </si>
  <si>
    <t xml:space="preserve">B60</t>
  </si>
  <si>
    <t xml:space="preserve">pv.material.unterkonstruktion_je_modul</t>
  </si>
  <si>
    <t xml:space="preserve">B61</t>
  </si>
  <si>
    <t xml:space="preserve">pv.material.kabel_kleinmaterial</t>
  </si>
  <si>
    <t xml:space="preserve">B62</t>
  </si>
  <si>
    <t xml:space="preserve">pv.material.geruest</t>
  </si>
  <si>
    <t xml:space="preserve">B63</t>
  </si>
  <si>
    <t xml:space="preserve">pv.material.zaehlerschrank</t>
  </si>
  <si>
    <t xml:space="preserve">B64</t>
  </si>
  <si>
    <t xml:space="preserve">pv.material.anmeldung</t>
  </si>
  <si>
    <t xml:space="preserve">B65</t>
  </si>
  <si>
    <t xml:space="preserve">pv.material.notstrom</t>
  </si>
  <si>
    <t xml:space="preserve">B69</t>
  </si>
  <si>
    <t xml:space="preserve">pv.ertrag_je_kwp</t>
  </si>
  <si>
    <t xml:space="preserve">B70</t>
  </si>
  <si>
    <t xml:space="preserve">pv.strompreis</t>
  </si>
  <si>
    <t xml:space="preserve">B71</t>
  </si>
  <si>
    <t xml:space="preserve">pv.einspeisung</t>
  </si>
  <si>
    <t xml:space="preserve">smart.loxone.name</t>
  </si>
  <si>
    <t xml:space="preserve">txt</t>
  </si>
  <si>
    <t xml:space="preserve">smart.loxone.zentrale.preis</t>
  </si>
  <si>
    <t xml:space="preserve">smart.loxone.zentrale.h</t>
  </si>
  <si>
    <t xml:space="preserve">smart.loxone.licht.preis</t>
  </si>
  <si>
    <t xml:space="preserve">smart.loxone.licht.h</t>
  </si>
  <si>
    <t xml:space="preserve">smart.loxone.heizung.preis</t>
  </si>
  <si>
    <t xml:space="preserve">B14</t>
  </si>
  <si>
    <t xml:space="preserve">smart.loxone.heizung.h</t>
  </si>
  <si>
    <t xml:space="preserve">B15</t>
  </si>
  <si>
    <t xml:space="preserve">smart.loxone.rollladen.preis</t>
  </si>
  <si>
    <t xml:space="preserve">B16</t>
  </si>
  <si>
    <t xml:space="preserve">smart.loxone.rollladen.h</t>
  </si>
  <si>
    <t xml:space="preserve">smart.loxone.sicherheit.preis</t>
  </si>
  <si>
    <t xml:space="preserve">smart.loxone.sicherheit.h</t>
  </si>
  <si>
    <t xml:space="preserve">B22</t>
  </si>
  <si>
    <t xml:space="preserve">smart.funk.name</t>
  </si>
  <si>
    <t xml:space="preserve">smart.funk.zentrale.preis</t>
  </si>
  <si>
    <t xml:space="preserve">smart.funk.zentrale.h</t>
  </si>
  <si>
    <t xml:space="preserve">smart.funk.licht.preis</t>
  </si>
  <si>
    <t xml:space="preserve">smart.funk.licht.h</t>
  </si>
  <si>
    <t xml:space="preserve">smart.funk.heizung.preis</t>
  </si>
  <si>
    <t xml:space="preserve">smart.funk.heizung.h</t>
  </si>
  <si>
    <t xml:space="preserve">smart.funk.rollladen.preis</t>
  </si>
  <si>
    <t xml:space="preserve">smart.funk.rollladen.h</t>
  </si>
  <si>
    <t xml:space="preserve">B31</t>
  </si>
  <si>
    <t xml:space="preserve">smart.funk.sicherheit.preis</t>
  </si>
  <si>
    <t xml:space="preserve">smart.funk.sicherheit.h</t>
  </si>
  <si>
    <t xml:space="preserve">smart.knx.name</t>
  </si>
  <si>
    <t xml:space="preserve">smart.knx.zentrale.preis</t>
  </si>
  <si>
    <t xml:space="preserve">B38</t>
  </si>
  <si>
    <t xml:space="preserve">smart.knx.zentrale.h</t>
  </si>
  <si>
    <t xml:space="preserve">B39</t>
  </si>
  <si>
    <t xml:space="preserve">smart.knx.licht.preis</t>
  </si>
  <si>
    <t xml:space="preserve">B40</t>
  </si>
  <si>
    <t xml:space="preserve">smart.knx.licht.h</t>
  </si>
  <si>
    <t xml:space="preserve">smart.knx.heizung.preis</t>
  </si>
  <si>
    <t xml:space="preserve">B42</t>
  </si>
  <si>
    <t xml:space="preserve">smart.knx.heizung.h</t>
  </si>
  <si>
    <t xml:space="preserve">B43</t>
  </si>
  <si>
    <t xml:space="preserve">smart.knx.rollladen.preis</t>
  </si>
  <si>
    <t xml:space="preserve">B44</t>
  </si>
  <si>
    <t xml:space="preserve">smart.knx.rollladen.h</t>
  </si>
  <si>
    <t xml:space="preserve">B45</t>
  </si>
  <si>
    <t xml:space="preserve">smart.knx.sicherheit.preis</t>
  </si>
  <si>
    <t xml:space="preserve">B46</t>
  </si>
  <si>
    <t xml:space="preserve">smart.knx.sicherheit.h</t>
  </si>
  <si>
    <t xml:space="preserve">9:16</t>
  </si>
  <si>
    <t xml:space="preserve">shop.partner</t>
  </si>
  <si>
    <t xml:space="preserve">aktiv|bool,name|text</t>
  </si>
  <si>
    <t xml:space="preserve">22:34</t>
  </si>
  <si>
    <t xml:space="preserve">shop.produkte</t>
  </si>
  <si>
    <t xml:space="preserve">aktiv|bool,partner|psel,kategorie|text,modell|text,info|text,preis|num,montage|num,ek|sel|=–;A+++=A+++;A++=A++;A+=A+;A=A;B=B;C=C;D=D;E=E;F=F;G=G,skala|sel|neu=A–G (nuova);alt=A+++–D,label|text,datenblatt|text</t>
  </si>
  <si>
    <t xml:space="preserve">shop.lieferung</t>
  </si>
  <si>
    <t xml:space="preserve">shop.altgeraet</t>
  </si>
  <si>
    <t xml:space="preserve">shop.lieferzeit</t>
  </si>
  <si>
    <t xml:space="preserve">shop.liefergebiet</t>
  </si>
  <si>
    <t xml:space="preserve">shop.zahlung</t>
  </si>
  <si>
    <t xml:space="preserve">elektro.neu.material_m2</t>
  </si>
  <si>
    <t xml:space="preserve">elektro.neu.h_je_m2</t>
  </si>
  <si>
    <t xml:space="preserve">elektro.san.material_m2</t>
  </si>
  <si>
    <t xml:space="preserve">elektro.san.h_je_m2</t>
  </si>
  <si>
    <t xml:space="preserve">elektro.teil.material_m2</t>
  </si>
  <si>
    <t xml:space="preserve">elektro.teil.h_je_m2</t>
  </si>
  <si>
    <t xml:space="preserve">elektro.zaehlerschrank.preis</t>
  </si>
  <si>
    <t xml:space="preserve">elektro.zaehlerschrank.h</t>
  </si>
  <si>
    <t xml:space="preserve">elektro.lan.preis</t>
  </si>
  <si>
    <t xml:space="preserve">elektro.lan.h</t>
  </si>
  <si>
    <t xml:space="preserve">elektro.ueberspannung.preis</t>
  </si>
  <si>
    <t xml:space="preserve">elektro.ueberspannung.h</t>
  </si>
  <si>
    <t xml:space="preserve">elektro.echeck.preis</t>
  </si>
  <si>
    <t xml:space="preserve">elektro.echeck.h</t>
  </si>
  <si>
    <t xml:space="preserve">29:37</t>
  </si>
  <si>
    <t xml:space="preserve">wallboxen</t>
  </si>
  <si>
    <t xml:space="preserve">elektro.wallbox_h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</si>
</sst>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"/>
    <numFmt numFmtId="166" formatCode="0%"/>
    <numFmt numFmtId="167" formatCode="0"/>
    <numFmt numFmtId="168" formatCode="#,##0.00"/>
    <numFmt numFmtId="169" formatCode="0.000&quot; €&quot;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200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3F4F6"/>
      </patternFill>
    </fill>
    <fill>
      <patternFill patternType="solid">
        <fgColor rgb="FFF3F4F6"/>
        <bgColor rgb="FFFFFFFF"/>
      </patternFill>
    </fill>
    <fill>
      <patternFill patternType="solid">
        <fgColor rgb="FF1F232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2001A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3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23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4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4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5" t="s">
        <v>15</v>
      </c>
    </row>
    <row r="20" customFormat="false" ht="15" hidden="false" customHeight="false" outlineLevel="0" collapsed="false">
      <c r="A20" s="6" t="s">
        <v>16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3" t="s">
        <v>19</v>
      </c>
    </row>
    <row r="5" customFormat="false" ht="15" hidden="false" customHeight="false" outlineLevel="0" collapsed="false">
      <c r="A5" s="2" t="s">
        <v>20</v>
      </c>
    </row>
    <row r="6" customFormat="false" ht="15" hidden="false" customHeight="false" outlineLevel="0" collapsed="false">
      <c r="A6" s="7" t="s">
        <v>21</v>
      </c>
      <c r="B6" s="7" t="s">
        <v>22</v>
      </c>
    </row>
    <row r="7" customFormat="false" ht="15" hidden="false" customHeight="false" outlineLevel="0" collapsed="false">
      <c r="A7" s="8" t="s">
        <v>23</v>
      </c>
      <c r="B7" s="5" t="s">
        <v>24</v>
      </c>
    </row>
    <row r="8" customFormat="false" ht="15" hidden="false" customHeight="false" outlineLevel="0" collapsed="false">
      <c r="A8" s="8" t="s">
        <v>25</v>
      </c>
      <c r="B8" s="5" t="s">
        <v>24</v>
      </c>
    </row>
    <row r="9" customFormat="false" ht="15" hidden="false" customHeight="false" outlineLevel="0" collapsed="false">
      <c r="A9" s="8" t="s">
        <v>26</v>
      </c>
      <c r="B9" s="5" t="s">
        <v>24</v>
      </c>
    </row>
    <row r="10" customFormat="false" ht="15" hidden="false" customHeight="false" outlineLevel="0" collapsed="false">
      <c r="A10" s="8" t="s">
        <v>27</v>
      </c>
      <c r="B10" s="5" t="s">
        <v>24</v>
      </c>
    </row>
    <row r="11" customFormat="false" ht="15" hidden="false" customHeight="false" outlineLevel="0" collapsed="false">
      <c r="A11" s="8" t="s">
        <v>28</v>
      </c>
      <c r="B11" s="5" t="s">
        <v>24</v>
      </c>
    </row>
    <row r="12" customFormat="false" ht="15" hidden="false" customHeight="false" outlineLevel="0" collapsed="false">
      <c r="A12" s="8" t="s">
        <v>29</v>
      </c>
      <c r="B12" s="5" t="s">
        <v>24</v>
      </c>
    </row>
    <row r="13" customFormat="false" ht="15" hidden="false" customHeight="false" outlineLevel="0" collapsed="false">
      <c r="A13" s="8" t="s">
        <v>30</v>
      </c>
      <c r="B13" s="5" t="s">
        <v>24</v>
      </c>
    </row>
    <row r="15" customFormat="false" ht="15" hidden="false" customHeight="false" outlineLevel="0" collapsed="false">
      <c r="A15" s="3" t="s">
        <v>31</v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7" t="s">
        <v>35</v>
      </c>
      <c r="E16" s="7" t="s">
        <v>36</v>
      </c>
    </row>
    <row r="17" customFormat="false" ht="15" hidden="false" customHeight="false" outlineLevel="0" collapsed="false">
      <c r="A17" s="8" t="s">
        <v>37</v>
      </c>
      <c r="B17" s="9" t="n">
        <v>68</v>
      </c>
      <c r="C17" s="8" t="s">
        <v>38</v>
      </c>
    </row>
    <row r="18" customFormat="false" ht="15" hidden="false" customHeight="false" outlineLevel="0" collapsed="false">
      <c r="A18" s="8" t="s">
        <v>39</v>
      </c>
      <c r="B18" s="9" t="n">
        <v>45</v>
      </c>
      <c r="C18" s="8" t="s">
        <v>40</v>
      </c>
    </row>
    <row r="19" customFormat="false" ht="15" hidden="false" customHeight="false" outlineLevel="0" collapsed="false">
      <c r="A19" s="8" t="s">
        <v>41</v>
      </c>
      <c r="B19" s="10" t="n">
        <v>0.19</v>
      </c>
      <c r="C19" s="8" t="s">
        <v>42</v>
      </c>
    </row>
    <row r="20" customFormat="false" ht="15" hidden="false" customHeight="false" outlineLevel="0" collapsed="false">
      <c r="A20" s="8" t="s">
        <v>43</v>
      </c>
      <c r="B20" s="10" t="n">
        <v>0.08</v>
      </c>
      <c r="C20" s="8" t="s">
        <v>42</v>
      </c>
    </row>
    <row r="21" customFormat="false" ht="15" hidden="false" customHeight="false" outlineLevel="0" collapsed="false">
      <c r="A21" s="8" t="s">
        <v>44</v>
      </c>
      <c r="B21" s="11" t="n">
        <v>30</v>
      </c>
      <c r="C21" s="8" t="s">
        <v>45</v>
      </c>
    </row>
    <row r="23" customFormat="false" ht="15" hidden="false" customHeight="false" outlineLevel="0" collapsed="false">
      <c r="A23" s="3" t="s">
        <v>46</v>
      </c>
    </row>
    <row r="24" customFormat="false" ht="15" hidden="false" customHeight="false" outlineLevel="0" collapsed="false">
      <c r="A24" s="2" t="s">
        <v>47</v>
      </c>
    </row>
    <row r="25" customFormat="false" ht="15" hidden="false" customHeight="false" outlineLevel="0" collapsed="false">
      <c r="A25" s="7" t="s">
        <v>32</v>
      </c>
      <c r="B25" s="7" t="s">
        <v>33</v>
      </c>
      <c r="C25" s="7" t="s">
        <v>34</v>
      </c>
      <c r="D25" s="7" t="s">
        <v>35</v>
      </c>
      <c r="E25" s="7" t="s">
        <v>36</v>
      </c>
    </row>
    <row r="26" customFormat="false" ht="15" hidden="false" customHeight="false" outlineLevel="0" collapsed="false">
      <c r="A26" s="8" t="s">
        <v>48</v>
      </c>
      <c r="B26" s="10" t="n">
        <v>0.3</v>
      </c>
      <c r="C26" s="8" t="s">
        <v>42</v>
      </c>
    </row>
    <row r="27" customFormat="false" ht="15" hidden="false" customHeight="false" outlineLevel="0" collapsed="false">
      <c r="A27" s="8" t="s">
        <v>49</v>
      </c>
      <c r="B27" s="10" t="n">
        <v>0.16</v>
      </c>
      <c r="C27" s="8" t="s">
        <v>42</v>
      </c>
    </row>
    <row r="28" customFormat="false" ht="15" hidden="false" customHeight="false" outlineLevel="0" collapsed="false">
      <c r="A28" s="8" t="s">
        <v>50</v>
      </c>
      <c r="B28" s="10" t="n">
        <v>0.7</v>
      </c>
      <c r="C28" s="8" t="s">
        <v>42</v>
      </c>
    </row>
    <row r="29" customFormat="false" ht="15" hidden="false" customHeight="false" outlineLevel="0" collapsed="false">
      <c r="A29" s="8" t="s">
        <v>51</v>
      </c>
      <c r="B29" s="10" t="n">
        <v>0.8</v>
      </c>
      <c r="C29" s="8" t="s">
        <v>42</v>
      </c>
    </row>
    <row r="30" customFormat="false" ht="15" hidden="false" customHeight="false" outlineLevel="0" collapsed="false">
      <c r="A30" s="8" t="s">
        <v>52</v>
      </c>
      <c r="B30" s="9" t="n">
        <v>28000</v>
      </c>
      <c r="C30" s="8" t="s">
        <v>40</v>
      </c>
    </row>
  </sheetData>
  <dataValidations count="7">
    <dataValidation allowBlank="true" errorStyle="stop" operator="between" showDropDown="false" showErrorMessage="true" showInputMessage="false" sqref="B7" type="list">
      <formula1>"Ja,Nein"</formula1>
      <formula2>0</formula2>
    </dataValidation>
    <dataValidation allowBlank="true" errorStyle="stop" operator="between" showDropDown="false" showErrorMessage="true" showInputMessage="false" sqref="B8" type="list">
      <formula1>"Ja,Nein"</formula1>
      <formula2>0</formula2>
    </dataValidation>
    <dataValidation allowBlank="true" errorStyle="stop" operator="between" showDropDown="false" showErrorMessage="true" showInputMessage="false" sqref="B9" type="list">
      <formula1>"Ja,Nein"</formula1>
      <formula2>0</formula2>
    </dataValidation>
    <dataValidation allowBlank="true" errorStyle="stop" operator="between" showDropDown="false" showErrorMessage="true" showInputMessage="false" sqref="B10" type="list">
      <formula1>"Ja,Nein"</formula1>
      <formula2>0</formula2>
    </dataValidation>
    <dataValidation allowBlank="true" errorStyle="stop" operator="between" showDropDown="false" showErrorMessage="true" showInputMessage="false" sqref="B11" type="list">
      <formula1>"Ja,Nein"</formula1>
      <formula2>0</formula2>
    </dataValidation>
    <dataValidation allowBlank="true" errorStyle="stop" operator="between" showDropDown="false" showErrorMessage="true" showInputMessage="false" sqref="B12" type="list">
      <formula1>"Ja,Nein"</formula1>
      <formula2>0</formula2>
    </dataValidation>
    <dataValidation allowBlank="true" errorStyle="stop" operator="between" showDropDown="false" showErrorMessage="true" showInputMessage="false" sqref="B13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54</v>
      </c>
    </row>
    <row r="7" customFormat="false" ht="15" hidden="false" customHeight="false" outlineLevel="0" collapsed="false">
      <c r="A7" s="2" t="s">
        <v>55</v>
      </c>
    </row>
    <row r="8" customFormat="false" ht="57.4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59</v>
      </c>
      <c r="E8" s="7" t="s">
        <v>60</v>
      </c>
      <c r="F8" s="7" t="s">
        <v>61</v>
      </c>
      <c r="G8" s="7" t="s">
        <v>62</v>
      </c>
      <c r="H8" s="7" t="s">
        <v>63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68</v>
      </c>
      <c r="N8" s="7" t="s">
        <v>69</v>
      </c>
      <c r="O8" s="7" t="s">
        <v>70</v>
      </c>
      <c r="P8" s="7" t="s">
        <v>71</v>
      </c>
    </row>
    <row r="9" customFormat="false" ht="15" hidden="false" customHeight="false" outlineLevel="0" collapsed="false">
      <c r="A9" s="5" t="s">
        <v>24</v>
      </c>
      <c r="B9" s="5" t="s">
        <v>72</v>
      </c>
      <c r="C9" s="5" t="s">
        <v>73</v>
      </c>
      <c r="D9" s="12" t="n">
        <v>2.5</v>
      </c>
      <c r="E9" s="5" t="s">
        <v>74</v>
      </c>
      <c r="F9" s="5" t="s">
        <v>75</v>
      </c>
      <c r="G9" s="9" t="n">
        <v>990</v>
      </c>
      <c r="H9" s="5" t="s">
        <v>76</v>
      </c>
      <c r="I9" s="5" t="s">
        <v>76</v>
      </c>
      <c r="J9" s="12" t="n">
        <v>7</v>
      </c>
      <c r="K9" s="12" t="n">
        <v>4.6</v>
      </c>
      <c r="L9" s="12" t="n">
        <v>19</v>
      </c>
      <c r="M9" s="5" t="s">
        <v>77</v>
      </c>
      <c r="N9" s="5"/>
      <c r="O9" s="5" t="s">
        <v>78</v>
      </c>
      <c r="P9" s="6" t="n">
        <f aca="false">IF(G9="","",G9*(1+Allgemein!$B$19))</f>
        <v>1178.1</v>
      </c>
    </row>
    <row r="10" customFormat="false" ht="15" hidden="false" customHeight="false" outlineLevel="0" collapsed="false">
      <c r="A10" s="5" t="s">
        <v>24</v>
      </c>
      <c r="B10" s="5" t="s">
        <v>72</v>
      </c>
      <c r="C10" s="5" t="s">
        <v>79</v>
      </c>
      <c r="D10" s="12" t="n">
        <v>3.3</v>
      </c>
      <c r="E10" s="5" t="s">
        <v>74</v>
      </c>
      <c r="F10" s="5" t="s">
        <v>75</v>
      </c>
      <c r="G10" s="9" t="n">
        <v>1120</v>
      </c>
      <c r="H10" s="5" t="s">
        <v>76</v>
      </c>
      <c r="I10" s="5" t="s">
        <v>76</v>
      </c>
      <c r="J10" s="12" t="n">
        <v>7</v>
      </c>
      <c r="K10" s="12" t="n">
        <v>4.6</v>
      </c>
      <c r="L10" s="12" t="n">
        <v>20</v>
      </c>
      <c r="M10" s="5" t="s">
        <v>77</v>
      </c>
      <c r="N10" s="5"/>
      <c r="O10" s="5" t="s">
        <v>80</v>
      </c>
      <c r="P10" s="6" t="n">
        <f aca="false">IF(G10="","",G10*(1+Allgemein!$B$19))</f>
        <v>1332.8</v>
      </c>
    </row>
    <row r="11" customFormat="false" ht="15" hidden="false" customHeight="false" outlineLevel="0" collapsed="false">
      <c r="A11" s="5" t="s">
        <v>24</v>
      </c>
      <c r="B11" s="5" t="s">
        <v>72</v>
      </c>
      <c r="C11" s="5" t="s">
        <v>81</v>
      </c>
      <c r="D11" s="12" t="n">
        <v>4.2</v>
      </c>
      <c r="E11" s="5" t="s">
        <v>74</v>
      </c>
      <c r="F11" s="5" t="s">
        <v>75</v>
      </c>
      <c r="G11" s="9" t="n">
        <v>1390</v>
      </c>
      <c r="H11" s="5" t="s">
        <v>76</v>
      </c>
      <c r="I11" s="5" t="s">
        <v>76</v>
      </c>
      <c r="J11" s="12" t="n">
        <v>7</v>
      </c>
      <c r="K11" s="12" t="n">
        <v>4.6</v>
      </c>
      <c r="L11" s="12" t="n">
        <v>21</v>
      </c>
      <c r="M11" s="5" t="s">
        <v>77</v>
      </c>
      <c r="N11" s="5"/>
      <c r="O11" s="5" t="s">
        <v>82</v>
      </c>
      <c r="P11" s="6" t="n">
        <f aca="false">IF(G11="","",G11*(1+Allgemein!$B$19))</f>
        <v>1654.1</v>
      </c>
    </row>
    <row r="12" customFormat="false" ht="15" hidden="false" customHeight="false" outlineLevel="0" collapsed="false">
      <c r="A12" s="5" t="s">
        <v>24</v>
      </c>
      <c r="B12" s="5" t="s">
        <v>72</v>
      </c>
      <c r="C12" s="5" t="s">
        <v>83</v>
      </c>
      <c r="D12" s="12" t="n">
        <v>5</v>
      </c>
      <c r="E12" s="5" t="s">
        <v>74</v>
      </c>
      <c r="F12" s="5" t="s">
        <v>75</v>
      </c>
      <c r="G12" s="9" t="n">
        <v>1590</v>
      </c>
      <c r="H12" s="5" t="s">
        <v>76</v>
      </c>
      <c r="I12" s="5" t="s">
        <v>84</v>
      </c>
      <c r="J12" s="12" t="n">
        <v>7</v>
      </c>
      <c r="K12" s="12" t="n">
        <v>4.4</v>
      </c>
      <c r="L12" s="12" t="n">
        <v>26</v>
      </c>
      <c r="M12" s="5" t="s">
        <v>77</v>
      </c>
      <c r="N12" s="5"/>
      <c r="O12" s="5" t="s">
        <v>85</v>
      </c>
      <c r="P12" s="6" t="n">
        <f aca="false">IF(G12="","",G12*(1+Allgemein!$B$19))</f>
        <v>1892.1</v>
      </c>
    </row>
    <row r="13" customFormat="false" ht="15" hidden="false" customHeight="false" outlineLevel="0" collapsed="false">
      <c r="A13" s="5" t="s">
        <v>24</v>
      </c>
      <c r="B13" s="5" t="s">
        <v>72</v>
      </c>
      <c r="C13" s="5" t="s">
        <v>86</v>
      </c>
      <c r="D13" s="12" t="n">
        <v>6.5</v>
      </c>
      <c r="E13" s="5" t="s">
        <v>74</v>
      </c>
      <c r="F13" s="5" t="s">
        <v>75</v>
      </c>
      <c r="G13" s="9" t="n">
        <v>2090</v>
      </c>
      <c r="H13" s="5" t="s">
        <v>76</v>
      </c>
      <c r="I13" s="5" t="s">
        <v>84</v>
      </c>
      <c r="J13" s="12" t="n">
        <v>6.9</v>
      </c>
      <c r="K13" s="12" t="n">
        <v>4.3</v>
      </c>
      <c r="L13" s="12" t="n">
        <v>29</v>
      </c>
      <c r="M13" s="5" t="s">
        <v>77</v>
      </c>
      <c r="N13" s="5"/>
      <c r="O13" s="5" t="s">
        <v>87</v>
      </c>
      <c r="P13" s="6" t="n">
        <f aca="false">IF(G13="","",G13*(1+Allgemein!$B$19))</f>
        <v>2487.1</v>
      </c>
    </row>
    <row r="14" customFormat="false" ht="15" hidden="false" customHeight="false" outlineLevel="0" collapsed="false">
      <c r="A14" s="5" t="s">
        <v>24</v>
      </c>
      <c r="B14" s="5" t="s">
        <v>72</v>
      </c>
      <c r="C14" s="5" t="s">
        <v>88</v>
      </c>
      <c r="D14" s="12" t="n">
        <v>2.5</v>
      </c>
      <c r="E14" s="5" t="s">
        <v>89</v>
      </c>
      <c r="F14" s="5" t="s">
        <v>75</v>
      </c>
      <c r="G14" s="9" t="n">
        <v>1390</v>
      </c>
      <c r="H14" s="5" t="s">
        <v>90</v>
      </c>
      <c r="I14" s="5" t="s">
        <v>90</v>
      </c>
      <c r="J14" s="12" t="n">
        <v>8.6</v>
      </c>
      <c r="K14" s="12" t="n">
        <v>5.1</v>
      </c>
      <c r="L14" s="12" t="n">
        <v>19</v>
      </c>
      <c r="M14" s="5" t="s">
        <v>77</v>
      </c>
      <c r="N14" s="5"/>
      <c r="O14" s="5" t="s">
        <v>91</v>
      </c>
      <c r="P14" s="6" t="n">
        <f aca="false">IF(G14="","",G14*(1+Allgemein!$B$19))</f>
        <v>1654.1</v>
      </c>
    </row>
    <row r="15" customFormat="false" ht="15" hidden="false" customHeight="false" outlineLevel="0" collapsed="false">
      <c r="A15" s="5" t="s">
        <v>24</v>
      </c>
      <c r="B15" s="5" t="s">
        <v>72</v>
      </c>
      <c r="C15" s="5" t="s">
        <v>92</v>
      </c>
      <c r="D15" s="12" t="n">
        <v>3.5</v>
      </c>
      <c r="E15" s="5" t="s">
        <v>89</v>
      </c>
      <c r="F15" s="5" t="s">
        <v>75</v>
      </c>
      <c r="G15" s="9" t="n">
        <v>1550</v>
      </c>
      <c r="H15" s="5" t="s">
        <v>90</v>
      </c>
      <c r="I15" s="5" t="s">
        <v>90</v>
      </c>
      <c r="J15" s="12" t="n">
        <v>8.6</v>
      </c>
      <c r="K15" s="12" t="n">
        <v>5.1</v>
      </c>
      <c r="L15" s="12" t="n">
        <v>19</v>
      </c>
      <c r="M15" s="5" t="s">
        <v>77</v>
      </c>
      <c r="N15" s="5"/>
      <c r="O15" s="5" t="s">
        <v>93</v>
      </c>
      <c r="P15" s="6" t="n">
        <f aca="false">IF(G15="","",G15*(1+Allgemein!$B$19))</f>
        <v>1844.5</v>
      </c>
    </row>
    <row r="16" customFormat="false" ht="15" hidden="false" customHeight="false" outlineLevel="0" collapsed="false">
      <c r="A16" s="5" t="s">
        <v>24</v>
      </c>
      <c r="B16" s="5" t="s">
        <v>72</v>
      </c>
      <c r="C16" s="5" t="s">
        <v>94</v>
      </c>
      <c r="D16" s="12" t="n">
        <v>4.6</v>
      </c>
      <c r="E16" s="5" t="s">
        <v>89</v>
      </c>
      <c r="F16" s="5" t="s">
        <v>75</v>
      </c>
      <c r="G16" s="9" t="n">
        <v>1790</v>
      </c>
      <c r="H16" s="5" t="s">
        <v>76</v>
      </c>
      <c r="I16" s="5" t="s">
        <v>90</v>
      </c>
      <c r="J16" s="12" t="n">
        <v>7.8</v>
      </c>
      <c r="K16" s="12" t="n">
        <v>4.6</v>
      </c>
      <c r="L16" s="12" t="n">
        <v>22</v>
      </c>
      <c r="M16" s="5" t="s">
        <v>77</v>
      </c>
      <c r="N16" s="5"/>
      <c r="O16" s="5" t="s">
        <v>95</v>
      </c>
      <c r="P16" s="6" t="n">
        <f aca="false">IF(G16="","",G16*(1+Allgemein!$B$19))</f>
        <v>2130.1</v>
      </c>
    </row>
    <row r="17" customFormat="false" ht="15" hidden="false" customHeight="false" outlineLevel="0" collapsed="false">
      <c r="A17" s="5" t="s">
        <v>24</v>
      </c>
      <c r="B17" s="5" t="s">
        <v>72</v>
      </c>
      <c r="C17" s="5" t="s">
        <v>96</v>
      </c>
      <c r="D17" s="12" t="n">
        <v>5</v>
      </c>
      <c r="E17" s="5" t="s">
        <v>89</v>
      </c>
      <c r="F17" s="5" t="s">
        <v>75</v>
      </c>
      <c r="G17" s="9" t="n">
        <v>1990</v>
      </c>
      <c r="H17" s="5" t="s">
        <v>76</v>
      </c>
      <c r="I17" s="5" t="s">
        <v>90</v>
      </c>
      <c r="J17" s="12" t="n">
        <v>7.3</v>
      </c>
      <c r="K17" s="12" t="n">
        <v>4.6</v>
      </c>
      <c r="L17" s="12" t="n">
        <v>26</v>
      </c>
      <c r="M17" s="5" t="s">
        <v>77</v>
      </c>
      <c r="N17" s="5"/>
      <c r="O17" s="5" t="s">
        <v>97</v>
      </c>
      <c r="P17" s="6" t="n">
        <f aca="false">IF(G17="","",G17*(1+Allgemein!$B$19))</f>
        <v>2368.1</v>
      </c>
    </row>
    <row r="18" customFormat="false" ht="15" hidden="false" customHeight="false" outlineLevel="0" collapsed="false">
      <c r="A18" s="5" t="s">
        <v>24</v>
      </c>
      <c r="B18" s="5" t="s">
        <v>72</v>
      </c>
      <c r="C18" s="5" t="s">
        <v>98</v>
      </c>
      <c r="D18" s="12" t="n">
        <v>6.1</v>
      </c>
      <c r="E18" s="5" t="s">
        <v>89</v>
      </c>
      <c r="F18" s="5" t="s">
        <v>75</v>
      </c>
      <c r="G18" s="9" t="n">
        <v>2290</v>
      </c>
      <c r="H18" s="5" t="s">
        <v>76</v>
      </c>
      <c r="I18" s="5" t="s">
        <v>90</v>
      </c>
      <c r="J18" s="12" t="n">
        <v>7.3</v>
      </c>
      <c r="K18" s="12" t="n">
        <v>4.6</v>
      </c>
      <c r="L18" s="12" t="n">
        <v>27</v>
      </c>
      <c r="M18" s="5" t="s">
        <v>77</v>
      </c>
      <c r="N18" s="5"/>
      <c r="O18" s="5" t="s">
        <v>99</v>
      </c>
      <c r="P18" s="6" t="n">
        <f aca="false">IF(G18="","",G18*(1+Allgemein!$B$19))</f>
        <v>2725.1</v>
      </c>
    </row>
    <row r="19" customFormat="false" ht="15" hidden="false" customHeight="false" outlineLevel="0" collapsed="false">
      <c r="A19" s="5" t="s">
        <v>24</v>
      </c>
      <c r="B19" s="5" t="s">
        <v>72</v>
      </c>
      <c r="C19" s="5" t="s">
        <v>100</v>
      </c>
      <c r="D19" s="12" t="n">
        <v>7</v>
      </c>
      <c r="E19" s="5" t="s">
        <v>89</v>
      </c>
      <c r="F19" s="5" t="s">
        <v>75</v>
      </c>
      <c r="G19" s="9" t="n">
        <v>2490</v>
      </c>
      <c r="H19" s="5" t="s">
        <v>76</v>
      </c>
      <c r="I19" s="5" t="s">
        <v>90</v>
      </c>
      <c r="J19" s="12" t="n">
        <v>6.3</v>
      </c>
      <c r="K19" s="12" t="n">
        <v>4.1</v>
      </c>
      <c r="L19" s="12" t="n">
        <v>28</v>
      </c>
      <c r="M19" s="5" t="s">
        <v>77</v>
      </c>
      <c r="N19" s="5"/>
      <c r="O19" s="5" t="s">
        <v>101</v>
      </c>
      <c r="P19" s="6" t="n">
        <f aca="false">IF(G19="","",G19*(1+Allgemein!$B$19))</f>
        <v>2963.1</v>
      </c>
    </row>
    <row r="20" customFormat="false" ht="15" hidden="false" customHeight="false" outlineLevel="0" collapsed="false">
      <c r="A20" s="5" t="s">
        <v>24</v>
      </c>
      <c r="B20" s="5" t="s">
        <v>72</v>
      </c>
      <c r="C20" s="5" t="s">
        <v>102</v>
      </c>
      <c r="D20" s="12" t="n">
        <v>2.5</v>
      </c>
      <c r="E20" s="5" t="s">
        <v>89</v>
      </c>
      <c r="F20" s="5" t="s">
        <v>75</v>
      </c>
      <c r="G20" s="9" t="n">
        <v>2190</v>
      </c>
      <c r="H20" s="5" t="s">
        <v>90</v>
      </c>
      <c r="I20" s="5" t="s">
        <v>90</v>
      </c>
      <c r="J20" s="12" t="n">
        <v>10.7</v>
      </c>
      <c r="K20" s="12" t="n">
        <v>5.3</v>
      </c>
      <c r="L20" s="12" t="n">
        <v>24</v>
      </c>
      <c r="M20" s="5" t="s">
        <v>77</v>
      </c>
      <c r="N20" s="5"/>
      <c r="O20" s="5" t="s">
        <v>103</v>
      </c>
      <c r="P20" s="6" t="n">
        <f aca="false">IF(G20="","",G20*(1+Allgemein!$B$19))</f>
        <v>2606.1</v>
      </c>
    </row>
    <row r="21" customFormat="false" ht="15" hidden="false" customHeight="false" outlineLevel="0" collapsed="false">
      <c r="A21" s="5" t="s">
        <v>24</v>
      </c>
      <c r="B21" s="5" t="s">
        <v>72</v>
      </c>
      <c r="C21" s="5" t="s">
        <v>104</v>
      </c>
      <c r="D21" s="12" t="n">
        <v>3.5</v>
      </c>
      <c r="E21" s="5" t="s">
        <v>89</v>
      </c>
      <c r="F21" s="5" t="s">
        <v>75</v>
      </c>
      <c r="G21" s="9" t="n">
        <v>2390</v>
      </c>
      <c r="H21" s="5" t="s">
        <v>90</v>
      </c>
      <c r="I21" s="5" t="s">
        <v>90</v>
      </c>
      <c r="J21" s="12" t="n">
        <v>9.7</v>
      </c>
      <c r="K21" s="12" t="n">
        <v>5.2</v>
      </c>
      <c r="L21" s="12" t="n">
        <v>26</v>
      </c>
      <c r="M21" s="5" t="s">
        <v>77</v>
      </c>
      <c r="N21" s="5"/>
      <c r="O21" s="5" t="s">
        <v>105</v>
      </c>
      <c r="P21" s="6" t="n">
        <f aca="false">IF(G21="","",G21*(1+Allgemein!$B$19))</f>
        <v>2844.1</v>
      </c>
    </row>
    <row r="22" customFormat="false" ht="15" hidden="false" customHeight="false" outlineLevel="0" collapsed="false">
      <c r="A22" s="5" t="s">
        <v>24</v>
      </c>
      <c r="B22" s="5" t="s">
        <v>72</v>
      </c>
      <c r="C22" s="5" t="s">
        <v>106</v>
      </c>
      <c r="D22" s="12" t="n">
        <v>5</v>
      </c>
      <c r="E22" s="5" t="s">
        <v>89</v>
      </c>
      <c r="F22" s="5" t="s">
        <v>75</v>
      </c>
      <c r="G22" s="9" t="n">
        <v>2890</v>
      </c>
      <c r="H22" s="5" t="s">
        <v>90</v>
      </c>
      <c r="I22" s="5" t="s">
        <v>76</v>
      </c>
      <c r="J22" s="12" t="n">
        <v>8.6</v>
      </c>
      <c r="K22" s="12" t="n">
        <v>4.8</v>
      </c>
      <c r="L22" s="12" t="n">
        <v>25</v>
      </c>
      <c r="M22" s="5" t="s">
        <v>77</v>
      </c>
      <c r="N22" s="5"/>
      <c r="O22" s="5" t="s">
        <v>107</v>
      </c>
      <c r="P22" s="6" t="n">
        <f aca="false">IF(G22="","",G22*(1+Allgemein!$B$19))</f>
        <v>3439.1</v>
      </c>
    </row>
    <row r="23" customFormat="false" ht="15" hidden="false" customHeight="false" outlineLevel="0" collapsed="false">
      <c r="A23" s="5" t="s">
        <v>24</v>
      </c>
      <c r="B23" s="5" t="s">
        <v>72</v>
      </c>
      <c r="C23" s="5" t="s">
        <v>108</v>
      </c>
      <c r="D23" s="12" t="n">
        <v>2.5</v>
      </c>
      <c r="E23" s="5" t="s">
        <v>74</v>
      </c>
      <c r="F23" s="5" t="s">
        <v>75</v>
      </c>
      <c r="G23" s="9" t="n">
        <v>890</v>
      </c>
      <c r="H23" s="5" t="s">
        <v>76</v>
      </c>
      <c r="I23" s="5" t="s">
        <v>84</v>
      </c>
      <c r="J23" s="12" t="n">
        <v>6.1</v>
      </c>
      <c r="K23" s="12" t="n">
        <v>4</v>
      </c>
      <c r="L23" s="12" t="n">
        <v>19</v>
      </c>
      <c r="M23" s="5" t="s">
        <v>77</v>
      </c>
      <c r="N23" s="5"/>
      <c r="O23" s="5" t="s">
        <v>109</v>
      </c>
      <c r="P23" s="6" t="n">
        <f aca="false">IF(G23="","",G23*(1+Allgemein!$B$19))</f>
        <v>1059.1</v>
      </c>
    </row>
    <row r="24" customFormat="false" ht="15" hidden="false" customHeight="false" outlineLevel="0" collapsed="false">
      <c r="A24" s="5" t="s">
        <v>24</v>
      </c>
      <c r="B24" s="5" t="s">
        <v>72</v>
      </c>
      <c r="C24" s="5" t="s">
        <v>110</v>
      </c>
      <c r="D24" s="12" t="n">
        <v>3.3</v>
      </c>
      <c r="E24" s="5" t="s">
        <v>74</v>
      </c>
      <c r="F24" s="5" t="s">
        <v>75</v>
      </c>
      <c r="G24" s="9" t="n">
        <v>990</v>
      </c>
      <c r="H24" s="5" t="s">
        <v>76</v>
      </c>
      <c r="I24" s="5" t="s">
        <v>84</v>
      </c>
      <c r="J24" s="12" t="n">
        <v>6.1</v>
      </c>
      <c r="K24" s="12" t="n">
        <v>4</v>
      </c>
      <c r="L24" s="12" t="n">
        <v>20</v>
      </c>
      <c r="M24" s="5" t="s">
        <v>77</v>
      </c>
      <c r="N24" s="5"/>
      <c r="O24" s="5" t="s">
        <v>111</v>
      </c>
      <c r="P24" s="6" t="n">
        <f aca="false">IF(G24="","",G24*(1+Allgemein!$B$19))</f>
        <v>1178.1</v>
      </c>
    </row>
    <row r="25" customFormat="false" ht="15" hidden="false" customHeight="false" outlineLevel="0" collapsed="false">
      <c r="A25" s="5" t="s">
        <v>24</v>
      </c>
      <c r="B25" s="5" t="s">
        <v>72</v>
      </c>
      <c r="C25" s="5" t="s">
        <v>112</v>
      </c>
      <c r="D25" s="12" t="n">
        <v>4.2</v>
      </c>
      <c r="E25" s="5" t="s">
        <v>74</v>
      </c>
      <c r="F25" s="5" t="s">
        <v>75</v>
      </c>
      <c r="G25" s="9" t="n">
        <v>1250</v>
      </c>
      <c r="H25" s="5" t="s">
        <v>76</v>
      </c>
      <c r="I25" s="5" t="s">
        <v>84</v>
      </c>
      <c r="J25" s="12" t="n">
        <v>6.1</v>
      </c>
      <c r="K25" s="12" t="n">
        <v>4</v>
      </c>
      <c r="L25" s="12" t="n">
        <v>22</v>
      </c>
      <c r="M25" s="5" t="s">
        <v>77</v>
      </c>
      <c r="N25" s="5"/>
      <c r="O25" s="5" t="s">
        <v>113</v>
      </c>
      <c r="P25" s="6" t="n">
        <f aca="false">IF(G25="","",G25*(1+Allgemein!$B$19))</f>
        <v>1487.5</v>
      </c>
    </row>
    <row r="26" customFormat="false" ht="15" hidden="false" customHeight="false" outlineLevel="0" collapsed="false">
      <c r="A26" s="5" t="s">
        <v>24</v>
      </c>
      <c r="B26" s="5" t="s">
        <v>72</v>
      </c>
      <c r="C26" s="5" t="s">
        <v>114</v>
      </c>
      <c r="D26" s="12" t="n">
        <v>5</v>
      </c>
      <c r="E26" s="5" t="s">
        <v>74</v>
      </c>
      <c r="F26" s="5" t="s">
        <v>75</v>
      </c>
      <c r="G26" s="9" t="n">
        <v>1450</v>
      </c>
      <c r="H26" s="5" t="s">
        <v>76</v>
      </c>
      <c r="I26" s="5" t="s">
        <v>84</v>
      </c>
      <c r="J26" s="12" t="n">
        <v>6.1</v>
      </c>
      <c r="K26" s="12" t="n">
        <v>4</v>
      </c>
      <c r="L26" s="12" t="n">
        <v>26</v>
      </c>
      <c r="M26" s="5" t="s">
        <v>77</v>
      </c>
      <c r="N26" s="5"/>
      <c r="O26" s="5" t="s">
        <v>115</v>
      </c>
      <c r="P26" s="6" t="n">
        <f aca="false">IF(G26="","",G26*(1+Allgemein!$B$19))</f>
        <v>1725.5</v>
      </c>
    </row>
    <row r="27" customFormat="false" ht="15" hidden="false" customHeight="false" outlineLevel="0" collapsed="false">
      <c r="A27" s="5" t="s">
        <v>24</v>
      </c>
      <c r="B27" s="5" t="s">
        <v>72</v>
      </c>
      <c r="C27" s="5" t="s">
        <v>116</v>
      </c>
      <c r="D27" s="12" t="n">
        <v>6.5</v>
      </c>
      <c r="E27" s="5" t="s">
        <v>74</v>
      </c>
      <c r="F27" s="5" t="s">
        <v>75</v>
      </c>
      <c r="G27" s="9" t="n">
        <v>1890</v>
      </c>
      <c r="H27" s="5" t="s">
        <v>76</v>
      </c>
      <c r="I27" s="5" t="s">
        <v>84</v>
      </c>
      <c r="J27" s="12" t="n">
        <v>6.1</v>
      </c>
      <c r="K27" s="12" t="n">
        <v>4</v>
      </c>
      <c r="L27" s="12" t="n">
        <v>29</v>
      </c>
      <c r="M27" s="5" t="s">
        <v>77</v>
      </c>
      <c r="N27" s="5"/>
      <c r="O27" s="5" t="s">
        <v>117</v>
      </c>
      <c r="P27" s="6" t="n">
        <f aca="false">IF(G27="","",G27*(1+Allgemein!$B$19))</f>
        <v>2249.1</v>
      </c>
    </row>
    <row r="28" customFormat="false" ht="15" hidden="false" customHeight="false" outlineLevel="0" collapsed="false">
      <c r="A28" s="5" t="s">
        <v>24</v>
      </c>
      <c r="B28" s="5" t="s">
        <v>72</v>
      </c>
      <c r="C28" s="5" t="s">
        <v>118</v>
      </c>
      <c r="D28" s="12" t="n">
        <v>2.5</v>
      </c>
      <c r="E28" s="5" t="s">
        <v>89</v>
      </c>
      <c r="F28" s="5" t="s">
        <v>75</v>
      </c>
      <c r="G28" s="9" t="n">
        <v>1490</v>
      </c>
      <c r="H28" s="5" t="s">
        <v>90</v>
      </c>
      <c r="I28" s="5" t="s">
        <v>90</v>
      </c>
      <c r="J28" s="12" t="n">
        <v>8.6</v>
      </c>
      <c r="K28" s="12" t="n">
        <v>5.1</v>
      </c>
      <c r="L28" s="12" t="n">
        <v>19</v>
      </c>
      <c r="M28" s="5" t="s">
        <v>77</v>
      </c>
      <c r="N28" s="5"/>
      <c r="O28" s="5" t="s">
        <v>119</v>
      </c>
      <c r="P28" s="6" t="n">
        <f aca="false">IF(G28="","",G28*(1+Allgemein!$B$19))</f>
        <v>1773.1</v>
      </c>
    </row>
    <row r="29" customFormat="false" ht="15" hidden="false" customHeight="false" outlineLevel="0" collapsed="false">
      <c r="A29" s="5" t="s">
        <v>24</v>
      </c>
      <c r="B29" s="5" t="s">
        <v>72</v>
      </c>
      <c r="C29" s="5" t="s">
        <v>120</v>
      </c>
      <c r="D29" s="12" t="n">
        <v>3.5</v>
      </c>
      <c r="E29" s="5" t="s">
        <v>89</v>
      </c>
      <c r="F29" s="5" t="s">
        <v>75</v>
      </c>
      <c r="G29" s="9" t="n">
        <v>1650</v>
      </c>
      <c r="H29" s="5" t="s">
        <v>90</v>
      </c>
      <c r="I29" s="5" t="s">
        <v>90</v>
      </c>
      <c r="J29" s="12" t="n">
        <v>8.6</v>
      </c>
      <c r="K29" s="12" t="n">
        <v>5.1</v>
      </c>
      <c r="L29" s="12" t="n">
        <v>19</v>
      </c>
      <c r="M29" s="5" t="s">
        <v>77</v>
      </c>
      <c r="N29" s="5"/>
      <c r="O29" s="5" t="s">
        <v>121</v>
      </c>
      <c r="P29" s="6" t="n">
        <f aca="false">IF(G29="","",G29*(1+Allgemein!$B$19))</f>
        <v>1963.5</v>
      </c>
    </row>
    <row r="30" customFormat="false" ht="15" hidden="false" customHeight="false" outlineLevel="0" collapsed="false">
      <c r="A30" s="5" t="s">
        <v>24</v>
      </c>
      <c r="B30" s="5" t="s">
        <v>72</v>
      </c>
      <c r="C30" s="5" t="s">
        <v>122</v>
      </c>
      <c r="D30" s="12" t="n">
        <v>4.6</v>
      </c>
      <c r="E30" s="5" t="s">
        <v>89</v>
      </c>
      <c r="F30" s="5" t="s">
        <v>75</v>
      </c>
      <c r="G30" s="9" t="n">
        <v>1890</v>
      </c>
      <c r="H30" s="5" t="s">
        <v>76</v>
      </c>
      <c r="I30" s="5" t="s">
        <v>90</v>
      </c>
      <c r="J30" s="12" t="n">
        <v>7.8</v>
      </c>
      <c r="K30" s="12" t="n">
        <v>4.6</v>
      </c>
      <c r="L30" s="12" t="n">
        <v>22</v>
      </c>
      <c r="M30" s="5" t="s">
        <v>77</v>
      </c>
      <c r="N30" s="5"/>
      <c r="O30" s="5" t="s">
        <v>123</v>
      </c>
      <c r="P30" s="6" t="n">
        <f aca="false">IF(G30="","",G30*(1+Allgemein!$B$19))</f>
        <v>2249.1</v>
      </c>
    </row>
    <row r="31" customFormat="false" ht="15" hidden="false" customHeight="false" outlineLevel="0" collapsed="false">
      <c r="A31" s="5" t="s">
        <v>24</v>
      </c>
      <c r="B31" s="5" t="s">
        <v>72</v>
      </c>
      <c r="C31" s="5" t="s">
        <v>124</v>
      </c>
      <c r="D31" s="12" t="n">
        <v>5</v>
      </c>
      <c r="E31" s="5" t="s">
        <v>89</v>
      </c>
      <c r="F31" s="5" t="s">
        <v>75</v>
      </c>
      <c r="G31" s="9" t="n">
        <v>2090</v>
      </c>
      <c r="H31" s="5" t="s">
        <v>76</v>
      </c>
      <c r="I31" s="5" t="s">
        <v>90</v>
      </c>
      <c r="J31" s="12" t="n">
        <v>7.3</v>
      </c>
      <c r="K31" s="12" t="n">
        <v>4.6</v>
      </c>
      <c r="L31" s="12" t="n">
        <v>26</v>
      </c>
      <c r="M31" s="5" t="s">
        <v>77</v>
      </c>
      <c r="N31" s="5"/>
      <c r="O31" s="5" t="s">
        <v>125</v>
      </c>
      <c r="P31" s="6" t="n">
        <f aca="false">IF(G31="","",G31*(1+Allgemein!$B$19))</f>
        <v>2487.1</v>
      </c>
    </row>
    <row r="32" customFormat="false" ht="15" hidden="false" customHeight="false" outlineLevel="0" collapsed="false">
      <c r="A32" s="5" t="s">
        <v>24</v>
      </c>
      <c r="B32" s="5" t="s">
        <v>72</v>
      </c>
      <c r="C32" s="5" t="s">
        <v>126</v>
      </c>
      <c r="D32" s="12" t="n">
        <v>6.1</v>
      </c>
      <c r="E32" s="5" t="s">
        <v>89</v>
      </c>
      <c r="F32" s="5" t="s">
        <v>75</v>
      </c>
      <c r="G32" s="9" t="n">
        <v>2390</v>
      </c>
      <c r="H32" s="5" t="s">
        <v>76</v>
      </c>
      <c r="I32" s="5" t="s">
        <v>90</v>
      </c>
      <c r="J32" s="12" t="n">
        <v>7.3</v>
      </c>
      <c r="K32" s="12" t="n">
        <v>4.6</v>
      </c>
      <c r="L32" s="12" t="n">
        <v>27</v>
      </c>
      <c r="M32" s="5" t="s">
        <v>77</v>
      </c>
      <c r="N32" s="5"/>
      <c r="O32" s="5" t="s">
        <v>127</v>
      </c>
      <c r="P32" s="6" t="n">
        <f aca="false">IF(G32="","",G32*(1+Allgemein!$B$19))</f>
        <v>2844.1</v>
      </c>
    </row>
    <row r="33" customFormat="false" ht="15" hidden="false" customHeight="false" outlineLevel="0" collapsed="false">
      <c r="A33" s="5" t="s">
        <v>24</v>
      </c>
      <c r="B33" s="5" t="s">
        <v>72</v>
      </c>
      <c r="C33" s="5" t="s">
        <v>128</v>
      </c>
      <c r="D33" s="12" t="n">
        <v>7</v>
      </c>
      <c r="E33" s="5" t="s">
        <v>89</v>
      </c>
      <c r="F33" s="5" t="s">
        <v>75</v>
      </c>
      <c r="G33" s="9" t="n">
        <v>2590</v>
      </c>
      <c r="H33" s="5" t="s">
        <v>76</v>
      </c>
      <c r="I33" s="5" t="s">
        <v>90</v>
      </c>
      <c r="J33" s="12" t="n">
        <v>6.3</v>
      </c>
      <c r="K33" s="12" t="n">
        <v>4.1</v>
      </c>
      <c r="L33" s="12" t="n">
        <v>28</v>
      </c>
      <c r="M33" s="5" t="s">
        <v>77</v>
      </c>
      <c r="N33" s="5"/>
      <c r="O33" s="5" t="s">
        <v>129</v>
      </c>
      <c r="P33" s="6" t="n">
        <f aca="false">IF(G33="","",G33*(1+Allgemein!$B$19))</f>
        <v>3082.1</v>
      </c>
    </row>
    <row r="34" customFormat="false" ht="15" hidden="false" customHeight="false" outlineLevel="0" collapsed="false">
      <c r="A34" s="5" t="s">
        <v>24</v>
      </c>
      <c r="B34" s="5" t="s">
        <v>72</v>
      </c>
      <c r="C34" s="5" t="s">
        <v>130</v>
      </c>
      <c r="D34" s="12" t="n">
        <v>2.5</v>
      </c>
      <c r="E34" s="5" t="s">
        <v>89</v>
      </c>
      <c r="F34" s="5" t="s">
        <v>75</v>
      </c>
      <c r="G34" s="9" t="n">
        <v>1690</v>
      </c>
      <c r="H34" s="5" t="s">
        <v>90</v>
      </c>
      <c r="I34" s="5" t="s">
        <v>90</v>
      </c>
      <c r="J34" s="12" t="n">
        <v>8.5</v>
      </c>
      <c r="K34" s="12" t="n">
        <v>5.1</v>
      </c>
      <c r="L34" s="12" t="n">
        <v>19</v>
      </c>
      <c r="M34" s="5" t="s">
        <v>77</v>
      </c>
      <c r="N34" s="5"/>
      <c r="O34" s="5" t="s">
        <v>131</v>
      </c>
      <c r="P34" s="6" t="n">
        <f aca="false">IF(G34="","",G34*(1+Allgemein!$B$19))</f>
        <v>2011.1</v>
      </c>
    </row>
    <row r="35" customFormat="false" ht="15" hidden="false" customHeight="false" outlineLevel="0" collapsed="false">
      <c r="A35" s="5" t="s">
        <v>24</v>
      </c>
      <c r="B35" s="5" t="s">
        <v>72</v>
      </c>
      <c r="C35" s="5" t="s">
        <v>132</v>
      </c>
      <c r="D35" s="12" t="n">
        <v>3.5</v>
      </c>
      <c r="E35" s="5" t="s">
        <v>89</v>
      </c>
      <c r="F35" s="5" t="s">
        <v>75</v>
      </c>
      <c r="G35" s="9" t="n">
        <v>1890</v>
      </c>
      <c r="H35" s="5" t="s">
        <v>90</v>
      </c>
      <c r="I35" s="5" t="s">
        <v>90</v>
      </c>
      <c r="J35" s="12" t="n">
        <v>8.7</v>
      </c>
      <c r="K35" s="12" t="n">
        <v>5.1</v>
      </c>
      <c r="L35" s="12" t="n">
        <v>19</v>
      </c>
      <c r="M35" s="5" t="s">
        <v>77</v>
      </c>
      <c r="N35" s="5"/>
      <c r="O35" s="5" t="s">
        <v>133</v>
      </c>
      <c r="P35" s="6" t="n">
        <f aca="false">IF(G35="","",G35*(1+Allgemein!$B$19))</f>
        <v>2249.1</v>
      </c>
    </row>
    <row r="36" customFormat="false" ht="15" hidden="false" customHeight="false" outlineLevel="0" collapsed="false">
      <c r="A36" s="5" t="s">
        <v>24</v>
      </c>
      <c r="B36" s="5" t="s">
        <v>72</v>
      </c>
      <c r="C36" s="5" t="s">
        <v>134</v>
      </c>
      <c r="D36" s="12" t="n">
        <v>4.6</v>
      </c>
      <c r="E36" s="5" t="s">
        <v>89</v>
      </c>
      <c r="F36" s="5" t="s">
        <v>75</v>
      </c>
      <c r="G36" s="9" t="n">
        <v>2190</v>
      </c>
      <c r="H36" s="5" t="s">
        <v>90</v>
      </c>
      <c r="I36" s="5" t="s">
        <v>90</v>
      </c>
      <c r="J36" s="12" t="n">
        <v>7.8</v>
      </c>
      <c r="K36" s="12" t="n">
        <v>4.6</v>
      </c>
      <c r="L36" s="12" t="n">
        <v>21</v>
      </c>
      <c r="M36" s="5" t="s">
        <v>77</v>
      </c>
      <c r="N36" s="5"/>
      <c r="O36" s="5" t="s">
        <v>135</v>
      </c>
      <c r="P36" s="6" t="n">
        <f aca="false">IF(G36="","",G36*(1+Allgemein!$B$19))</f>
        <v>2606.1</v>
      </c>
    </row>
    <row r="37" customFormat="false" ht="15" hidden="false" customHeight="false" outlineLevel="0" collapsed="false">
      <c r="A37" s="5" t="s">
        <v>24</v>
      </c>
      <c r="B37" s="5" t="s">
        <v>72</v>
      </c>
      <c r="C37" s="5" t="s">
        <v>136</v>
      </c>
      <c r="D37" s="12" t="n">
        <v>2.5</v>
      </c>
      <c r="E37" s="5" t="s">
        <v>89</v>
      </c>
      <c r="F37" s="5" t="s">
        <v>75</v>
      </c>
      <c r="G37" s="9" t="n">
        <v>2490</v>
      </c>
      <c r="H37" s="5" t="s">
        <v>90</v>
      </c>
      <c r="I37" s="5" t="s">
        <v>90</v>
      </c>
      <c r="J37" s="12" t="n">
        <v>10.7</v>
      </c>
      <c r="K37" s="12" t="n">
        <v>5.3</v>
      </c>
      <c r="L37" s="12" t="n">
        <v>24</v>
      </c>
      <c r="M37" s="5" t="s">
        <v>77</v>
      </c>
      <c r="N37" s="5"/>
      <c r="O37" s="5" t="s">
        <v>137</v>
      </c>
      <c r="P37" s="6" t="n">
        <f aca="false">IF(G37="","",G37*(1+Allgemein!$B$19))</f>
        <v>2963.1</v>
      </c>
    </row>
    <row r="38" customFormat="false" ht="15" hidden="false" customHeight="false" outlineLevel="0" collapsed="false">
      <c r="A38" s="5" t="s">
        <v>24</v>
      </c>
      <c r="B38" s="5" t="s">
        <v>72</v>
      </c>
      <c r="C38" s="5" t="s">
        <v>138</v>
      </c>
      <c r="D38" s="12" t="n">
        <v>3.5</v>
      </c>
      <c r="E38" s="5" t="s">
        <v>89</v>
      </c>
      <c r="F38" s="5" t="s">
        <v>75</v>
      </c>
      <c r="G38" s="9" t="n">
        <v>2690</v>
      </c>
      <c r="H38" s="5" t="s">
        <v>90</v>
      </c>
      <c r="I38" s="5" t="s">
        <v>90</v>
      </c>
      <c r="J38" s="12" t="n">
        <v>9.7</v>
      </c>
      <c r="K38" s="12" t="n">
        <v>5.2</v>
      </c>
      <c r="L38" s="12" t="n">
        <v>26</v>
      </c>
      <c r="M38" s="5" t="s">
        <v>77</v>
      </c>
      <c r="N38" s="5"/>
      <c r="O38" s="5" t="s">
        <v>139</v>
      </c>
      <c r="P38" s="6" t="n">
        <f aca="false">IF(G38="","",G38*(1+Allgemein!$B$19))</f>
        <v>3201.1</v>
      </c>
    </row>
    <row r="39" customFormat="false" ht="15" hidden="false" customHeight="false" outlineLevel="0" collapsed="false">
      <c r="A39" s="5" t="s">
        <v>24</v>
      </c>
      <c r="B39" s="5" t="s">
        <v>72</v>
      </c>
      <c r="C39" s="5" t="s">
        <v>140</v>
      </c>
      <c r="D39" s="12" t="n">
        <v>5</v>
      </c>
      <c r="E39" s="5" t="s">
        <v>89</v>
      </c>
      <c r="F39" s="5" t="s">
        <v>75</v>
      </c>
      <c r="G39" s="9" t="n">
        <v>3190</v>
      </c>
      <c r="H39" s="5" t="s">
        <v>90</v>
      </c>
      <c r="I39" s="5" t="s">
        <v>76</v>
      </c>
      <c r="J39" s="12" t="n">
        <v>8.6</v>
      </c>
      <c r="K39" s="12" t="n">
        <v>4.8</v>
      </c>
      <c r="L39" s="12" t="n">
        <v>25</v>
      </c>
      <c r="M39" s="5" t="s">
        <v>77</v>
      </c>
      <c r="N39" s="5"/>
      <c r="O39" s="5" t="s">
        <v>141</v>
      </c>
      <c r="P39" s="6" t="n">
        <f aca="false">IF(G39="","",G39*(1+Allgemein!$B$19))</f>
        <v>3796.1</v>
      </c>
    </row>
    <row r="40" customFormat="false" ht="15" hidden="false" customHeight="false" outlineLevel="0" collapsed="false">
      <c r="A40" s="5" t="s">
        <v>24</v>
      </c>
      <c r="B40" s="5" t="s">
        <v>72</v>
      </c>
      <c r="C40" s="5" t="s">
        <v>142</v>
      </c>
      <c r="D40" s="12" t="n">
        <v>2.5</v>
      </c>
      <c r="E40" s="5" t="s">
        <v>74</v>
      </c>
      <c r="F40" s="5" t="s">
        <v>143</v>
      </c>
      <c r="G40" s="9" t="n">
        <v>1490</v>
      </c>
      <c r="H40" s="5" t="s">
        <v>76</v>
      </c>
      <c r="I40" s="5" t="s">
        <v>76</v>
      </c>
      <c r="J40" s="12" t="n">
        <v>7.2</v>
      </c>
      <c r="K40" s="12" t="n">
        <v>4.7</v>
      </c>
      <c r="L40" s="12" t="n">
        <v>23</v>
      </c>
      <c r="M40" s="5" t="s">
        <v>77</v>
      </c>
      <c r="N40" s="5"/>
      <c r="O40" s="5" t="s">
        <v>144</v>
      </c>
      <c r="P40" s="6" t="n">
        <f aca="false">IF(G40="","",G40*(1+Allgemein!$B$19))</f>
        <v>1773.1</v>
      </c>
    </row>
    <row r="41" customFormat="false" ht="15" hidden="false" customHeight="false" outlineLevel="0" collapsed="false">
      <c r="A41" s="5" t="s">
        <v>24</v>
      </c>
      <c r="B41" s="5" t="s">
        <v>72</v>
      </c>
      <c r="C41" s="5" t="s">
        <v>145</v>
      </c>
      <c r="D41" s="12" t="n">
        <v>3.5</v>
      </c>
      <c r="E41" s="5" t="s">
        <v>74</v>
      </c>
      <c r="F41" s="5" t="s">
        <v>143</v>
      </c>
      <c r="G41" s="9" t="n">
        <v>1690</v>
      </c>
      <c r="H41" s="5" t="s">
        <v>76</v>
      </c>
      <c r="I41" s="5" t="s">
        <v>76</v>
      </c>
      <c r="J41" s="12" t="n">
        <v>7</v>
      </c>
      <c r="K41" s="12" t="n">
        <v>4.7</v>
      </c>
      <c r="L41" s="12" t="n">
        <v>24</v>
      </c>
      <c r="M41" s="5" t="s">
        <v>77</v>
      </c>
      <c r="N41" s="5"/>
      <c r="O41" s="5" t="s">
        <v>146</v>
      </c>
      <c r="P41" s="6" t="n">
        <f aca="false">IF(G41="","",G41*(1+Allgemein!$B$19))</f>
        <v>2011.1</v>
      </c>
    </row>
    <row r="42" customFormat="false" ht="15" hidden="false" customHeight="false" outlineLevel="0" collapsed="false">
      <c r="A42" s="5" t="s">
        <v>24</v>
      </c>
      <c r="B42" s="5" t="s">
        <v>72</v>
      </c>
      <c r="C42" s="5" t="s">
        <v>147</v>
      </c>
      <c r="D42" s="12" t="n">
        <v>5</v>
      </c>
      <c r="E42" s="5" t="s">
        <v>74</v>
      </c>
      <c r="F42" s="5" t="s">
        <v>143</v>
      </c>
      <c r="G42" s="9" t="n">
        <v>2090</v>
      </c>
      <c r="H42" s="5" t="s">
        <v>76</v>
      </c>
      <c r="I42" s="5" t="s">
        <v>76</v>
      </c>
      <c r="J42" s="12" t="n">
        <v>6.8</v>
      </c>
      <c r="K42" s="12" t="n">
        <v>4.6</v>
      </c>
      <c r="L42" s="12" t="n">
        <v>37</v>
      </c>
      <c r="M42" s="5" t="s">
        <v>77</v>
      </c>
      <c r="N42" s="5"/>
      <c r="O42" s="5" t="s">
        <v>148</v>
      </c>
      <c r="P42" s="6" t="n">
        <f aca="false">IF(G42="","",G42*(1+Allgemein!$B$19))</f>
        <v>2487.1</v>
      </c>
    </row>
    <row r="43" customFormat="false" ht="15" hidden="false" customHeight="false" outlineLevel="0" collapsed="false">
      <c r="A43" s="5" t="s">
        <v>24</v>
      </c>
      <c r="B43" s="5" t="s">
        <v>149</v>
      </c>
      <c r="C43" s="5" t="s">
        <v>150</v>
      </c>
      <c r="D43" s="12" t="n">
        <v>2.5</v>
      </c>
      <c r="E43" s="5" t="s">
        <v>74</v>
      </c>
      <c r="F43" s="5" t="s">
        <v>75</v>
      </c>
      <c r="G43" s="9" t="n">
        <v>1150</v>
      </c>
      <c r="H43" s="5" t="s">
        <v>76</v>
      </c>
      <c r="I43" s="5" t="s">
        <v>76</v>
      </c>
      <c r="J43" s="12" t="n">
        <v>7.2</v>
      </c>
      <c r="K43" s="12" t="n">
        <v>4.61</v>
      </c>
      <c r="L43" s="12" t="n">
        <v>19</v>
      </c>
      <c r="M43" s="5" t="s">
        <v>77</v>
      </c>
      <c r="N43" s="5"/>
      <c r="O43" s="5" t="s">
        <v>151</v>
      </c>
      <c r="P43" s="6" t="n">
        <f aca="false">IF(G43="","",G43*(1+Allgemein!$B$19))</f>
        <v>1368.5</v>
      </c>
    </row>
    <row r="44" customFormat="false" ht="15" hidden="false" customHeight="false" outlineLevel="0" collapsed="false">
      <c r="A44" s="5" t="s">
        <v>24</v>
      </c>
      <c r="B44" s="5" t="s">
        <v>149</v>
      </c>
      <c r="C44" s="5" t="s">
        <v>152</v>
      </c>
      <c r="D44" s="12" t="n">
        <v>3.5</v>
      </c>
      <c r="E44" s="5" t="s">
        <v>74</v>
      </c>
      <c r="F44" s="5" t="s">
        <v>75</v>
      </c>
      <c r="G44" s="9" t="n">
        <v>1290</v>
      </c>
      <c r="H44" s="5" t="s">
        <v>76</v>
      </c>
      <c r="I44" s="5" t="s">
        <v>76</v>
      </c>
      <c r="J44" s="12" t="n">
        <v>7.2</v>
      </c>
      <c r="K44" s="12" t="n">
        <v>4.64</v>
      </c>
      <c r="L44" s="12" t="n">
        <v>20</v>
      </c>
      <c r="M44" s="5" t="s">
        <v>77</v>
      </c>
      <c r="N44" s="5"/>
      <c r="O44" s="5" t="s">
        <v>151</v>
      </c>
      <c r="P44" s="6" t="n">
        <f aca="false">IF(G44="","",G44*(1+Allgemein!$B$19))</f>
        <v>1535.1</v>
      </c>
    </row>
    <row r="45" customFormat="false" ht="15" hidden="false" customHeight="false" outlineLevel="0" collapsed="false">
      <c r="A45" s="5" t="s">
        <v>24</v>
      </c>
      <c r="B45" s="5" t="s">
        <v>149</v>
      </c>
      <c r="C45" s="5" t="s">
        <v>153</v>
      </c>
      <c r="D45" s="12" t="n">
        <v>5</v>
      </c>
      <c r="E45" s="5" t="s">
        <v>74</v>
      </c>
      <c r="F45" s="5" t="s">
        <v>75</v>
      </c>
      <c r="G45" s="9" t="n">
        <v>1790</v>
      </c>
      <c r="H45" s="5" t="s">
        <v>76</v>
      </c>
      <c r="I45" s="5" t="s">
        <v>84</v>
      </c>
      <c r="J45" s="12" t="n">
        <v>7.1</v>
      </c>
      <c r="K45" s="12" t="n">
        <v>4.3</v>
      </c>
      <c r="L45" s="12" t="n">
        <v>27</v>
      </c>
      <c r="M45" s="5" t="s">
        <v>77</v>
      </c>
      <c r="N45" s="5"/>
      <c r="O45" s="5" t="s">
        <v>154</v>
      </c>
      <c r="P45" s="6" t="n">
        <f aca="false">IF(G45="","",G45*(1+Allgemein!$B$19))</f>
        <v>2130.1</v>
      </c>
    </row>
    <row r="46" customFormat="false" ht="15" hidden="false" customHeight="false" outlineLevel="0" collapsed="false">
      <c r="A46" s="5" t="s">
        <v>24</v>
      </c>
      <c r="B46" s="5" t="s">
        <v>149</v>
      </c>
      <c r="C46" s="5" t="s">
        <v>155</v>
      </c>
      <c r="D46" s="12" t="n">
        <v>2.5</v>
      </c>
      <c r="E46" s="5" t="s">
        <v>89</v>
      </c>
      <c r="F46" s="5" t="s">
        <v>75</v>
      </c>
      <c r="G46" s="9" t="n">
        <v>1490</v>
      </c>
      <c r="H46" s="5" t="s">
        <v>90</v>
      </c>
      <c r="I46" s="5" t="s">
        <v>90</v>
      </c>
      <c r="J46" s="12" t="n">
        <v>9.47</v>
      </c>
      <c r="K46" s="12" t="n">
        <v>5.2</v>
      </c>
      <c r="L46" s="12" t="n">
        <v>19</v>
      </c>
      <c r="M46" s="5" t="s">
        <v>77</v>
      </c>
      <c r="N46" s="5"/>
      <c r="O46" s="5" t="s">
        <v>156</v>
      </c>
      <c r="P46" s="6" t="n">
        <f aca="false">IF(G46="","",G46*(1+Allgemein!$B$19))</f>
        <v>1773.1</v>
      </c>
    </row>
    <row r="47" customFormat="false" ht="15" hidden="false" customHeight="false" outlineLevel="0" collapsed="false">
      <c r="A47" s="5" t="s">
        <v>24</v>
      </c>
      <c r="B47" s="5" t="s">
        <v>149</v>
      </c>
      <c r="C47" s="5" t="s">
        <v>157</v>
      </c>
      <c r="D47" s="12" t="n">
        <v>3.5</v>
      </c>
      <c r="E47" s="5" t="s">
        <v>89</v>
      </c>
      <c r="F47" s="5" t="s">
        <v>75</v>
      </c>
      <c r="G47" s="9" t="n">
        <v>1690</v>
      </c>
      <c r="H47" s="5" t="s">
        <v>90</v>
      </c>
      <c r="I47" s="5" t="s">
        <v>90</v>
      </c>
      <c r="J47" s="12" t="n">
        <v>9.25</v>
      </c>
      <c r="K47" s="12" t="n">
        <v>5.2</v>
      </c>
      <c r="L47" s="12" t="n">
        <v>19</v>
      </c>
      <c r="M47" s="5" t="s">
        <v>77</v>
      </c>
      <c r="N47" s="5"/>
      <c r="O47" s="5" t="s">
        <v>156</v>
      </c>
      <c r="P47" s="6" t="n">
        <f aca="false">IF(G47="","",G47*(1+Allgemein!$B$19))</f>
        <v>2011.1</v>
      </c>
    </row>
    <row r="48" customFormat="false" ht="15" hidden="false" customHeight="false" outlineLevel="0" collapsed="false">
      <c r="A48" s="5" t="s">
        <v>24</v>
      </c>
      <c r="B48" s="5" t="s">
        <v>149</v>
      </c>
      <c r="C48" s="5" t="s">
        <v>158</v>
      </c>
      <c r="D48" s="12" t="n">
        <v>5</v>
      </c>
      <c r="E48" s="5" t="s">
        <v>89</v>
      </c>
      <c r="F48" s="5" t="s">
        <v>75</v>
      </c>
      <c r="G48" s="9" t="n">
        <v>2190</v>
      </c>
      <c r="H48" s="5" t="s">
        <v>76</v>
      </c>
      <c r="I48" s="5" t="s">
        <v>76</v>
      </c>
      <c r="J48" s="12" t="n">
        <v>7.8</v>
      </c>
      <c r="K48" s="12" t="n">
        <v>4.8</v>
      </c>
      <c r="L48" s="12" t="n">
        <v>27</v>
      </c>
      <c r="M48" s="5" t="s">
        <v>77</v>
      </c>
      <c r="N48" s="5"/>
      <c r="O48" s="5" t="s">
        <v>156</v>
      </c>
      <c r="P48" s="6" t="n">
        <f aca="false">IF(G48="","",G48*(1+Allgemein!$B$19))</f>
        <v>2606.1</v>
      </c>
    </row>
    <row r="49" customFormat="false" ht="15" hidden="false" customHeight="false" outlineLevel="0" collapsed="false">
      <c r="A49" s="5" t="s">
        <v>24</v>
      </c>
      <c r="B49" s="5" t="s">
        <v>159</v>
      </c>
      <c r="C49" s="5" t="s">
        <v>160</v>
      </c>
      <c r="D49" s="12" t="n">
        <v>2.5</v>
      </c>
      <c r="E49" s="5" t="s">
        <v>74</v>
      </c>
      <c r="F49" s="5" t="s">
        <v>75</v>
      </c>
      <c r="G49" s="9" t="n">
        <v>1150</v>
      </c>
      <c r="H49" s="5" t="s">
        <v>90</v>
      </c>
      <c r="I49" s="5" t="s">
        <v>76</v>
      </c>
      <c r="J49" s="12" t="n">
        <v>8.7</v>
      </c>
      <c r="K49" s="12" t="n">
        <v>4.8</v>
      </c>
      <c r="L49" s="12" t="n">
        <v>18</v>
      </c>
      <c r="M49" s="5" t="s">
        <v>77</v>
      </c>
      <c r="N49" s="5"/>
      <c r="O49" s="5" t="s">
        <v>161</v>
      </c>
      <c r="P49" s="6" t="n">
        <f aca="false">IF(G49="","",G49*(1+Allgemein!$B$19))</f>
        <v>1368.5</v>
      </c>
    </row>
    <row r="50" customFormat="false" ht="15" hidden="false" customHeight="false" outlineLevel="0" collapsed="false">
      <c r="A50" s="5" t="s">
        <v>24</v>
      </c>
      <c r="B50" s="5" t="s">
        <v>159</v>
      </c>
      <c r="C50" s="5" t="s">
        <v>162</v>
      </c>
      <c r="D50" s="12" t="n">
        <v>3.5</v>
      </c>
      <c r="E50" s="5" t="s">
        <v>74</v>
      </c>
      <c r="F50" s="5" t="s">
        <v>75</v>
      </c>
      <c r="G50" s="9" t="n">
        <v>1290</v>
      </c>
      <c r="H50" s="5" t="s">
        <v>90</v>
      </c>
      <c r="I50" s="5" t="s">
        <v>76</v>
      </c>
      <c r="J50" s="12" t="n">
        <v>8.7</v>
      </c>
      <c r="K50" s="12" t="n">
        <v>4.7</v>
      </c>
      <c r="L50" s="12" t="n">
        <v>18</v>
      </c>
      <c r="M50" s="5" t="s">
        <v>77</v>
      </c>
      <c r="N50" s="5"/>
      <c r="O50" s="5" t="s">
        <v>161</v>
      </c>
      <c r="P50" s="6" t="n">
        <f aca="false">IF(G50="","",G50*(1+Allgemein!$B$19))</f>
        <v>1535.1</v>
      </c>
    </row>
    <row r="51" customFormat="false" ht="15" hidden="false" customHeight="false" outlineLevel="0" collapsed="false">
      <c r="A51" s="5" t="s">
        <v>24</v>
      </c>
      <c r="B51" s="5" t="s">
        <v>159</v>
      </c>
      <c r="C51" s="5" t="s">
        <v>163</v>
      </c>
      <c r="D51" s="12" t="n">
        <v>4.2</v>
      </c>
      <c r="E51" s="5" t="s">
        <v>74</v>
      </c>
      <c r="F51" s="5" t="s">
        <v>75</v>
      </c>
      <c r="G51" s="9" t="n">
        <v>1490</v>
      </c>
      <c r="H51" s="5" t="s">
        <v>76</v>
      </c>
      <c r="I51" s="5" t="s">
        <v>76</v>
      </c>
      <c r="J51" s="12" t="n">
        <v>7.9</v>
      </c>
      <c r="K51" s="12" t="n">
        <v>4.7</v>
      </c>
      <c r="L51" s="12" t="n">
        <v>21</v>
      </c>
      <c r="M51" s="5" t="s">
        <v>77</v>
      </c>
      <c r="N51" s="5"/>
      <c r="O51" s="5" t="s">
        <v>161</v>
      </c>
      <c r="P51" s="6" t="n">
        <f aca="false">IF(G51="","",G51*(1+Allgemein!$B$19))</f>
        <v>1773.1</v>
      </c>
    </row>
    <row r="52" customFormat="false" ht="15" hidden="false" customHeight="false" outlineLevel="0" collapsed="false">
      <c r="A52" s="5" t="s">
        <v>24</v>
      </c>
      <c r="B52" s="5" t="s">
        <v>159</v>
      </c>
      <c r="C52" s="5" t="s">
        <v>164</v>
      </c>
      <c r="D52" s="12" t="n">
        <v>5</v>
      </c>
      <c r="E52" s="5" t="s">
        <v>74</v>
      </c>
      <c r="F52" s="5" t="s">
        <v>75</v>
      </c>
      <c r="G52" s="9" t="n">
        <v>1750</v>
      </c>
      <c r="H52" s="5" t="s">
        <v>76</v>
      </c>
      <c r="I52" s="5" t="s">
        <v>76</v>
      </c>
      <c r="J52" s="12" t="n">
        <v>7.5</v>
      </c>
      <c r="K52" s="12" t="n">
        <v>4.7</v>
      </c>
      <c r="L52" s="12" t="n">
        <v>28</v>
      </c>
      <c r="M52" s="5" t="s">
        <v>77</v>
      </c>
      <c r="N52" s="5"/>
      <c r="O52" s="5" t="s">
        <v>161</v>
      </c>
      <c r="P52" s="6" t="n">
        <f aca="false">IF(G52="","",G52*(1+Allgemein!$B$19))</f>
        <v>2082.5</v>
      </c>
    </row>
    <row r="53" customFormat="false" ht="15" hidden="false" customHeight="false" outlineLevel="0" collapsed="false">
      <c r="A53" s="5"/>
      <c r="B53" s="5"/>
      <c r="C53" s="5"/>
      <c r="D53" s="12"/>
      <c r="E53" s="5"/>
      <c r="F53" s="5"/>
      <c r="G53" s="9"/>
      <c r="H53" s="5"/>
      <c r="I53" s="5"/>
      <c r="J53" s="12"/>
      <c r="K53" s="12"/>
      <c r="L53" s="12"/>
      <c r="M53" s="5"/>
      <c r="N53" s="5"/>
      <c r="O53" s="5"/>
      <c r="P53" s="6" t="str">
        <f aca="false">IF(G53="","",G53*(1+Allgemein!$B$19))</f>
        <v/>
      </c>
    </row>
    <row r="54" customFormat="false" ht="15" hidden="false" customHeight="false" outlineLevel="0" collapsed="false">
      <c r="A54" s="5"/>
      <c r="B54" s="5"/>
      <c r="C54" s="5"/>
      <c r="D54" s="12"/>
      <c r="E54" s="5"/>
      <c r="F54" s="5"/>
      <c r="G54" s="9"/>
      <c r="H54" s="5"/>
      <c r="I54" s="5"/>
      <c r="J54" s="12"/>
      <c r="K54" s="12"/>
      <c r="L54" s="12"/>
      <c r="M54" s="5"/>
      <c r="N54" s="5"/>
      <c r="O54" s="5"/>
      <c r="P54" s="6" t="str">
        <f aca="false">IF(G54="","",G54*(1+Allgemein!$B$19))</f>
        <v/>
      </c>
    </row>
    <row r="55" customFormat="false" ht="15" hidden="false" customHeight="false" outlineLevel="0" collapsed="false">
      <c r="A55" s="5"/>
      <c r="B55" s="5"/>
      <c r="C55" s="5"/>
      <c r="D55" s="12"/>
      <c r="E55" s="5"/>
      <c r="F55" s="5"/>
      <c r="G55" s="9"/>
      <c r="H55" s="5"/>
      <c r="I55" s="5"/>
      <c r="J55" s="12"/>
      <c r="K55" s="12"/>
      <c r="L55" s="12"/>
      <c r="M55" s="5"/>
      <c r="N55" s="5"/>
      <c r="O55" s="5"/>
      <c r="P55" s="6" t="str">
        <f aca="false">IF(G55="","",G55*(1+Allgemein!$B$19))</f>
        <v/>
      </c>
    </row>
    <row r="56" customFormat="false" ht="15" hidden="false" customHeight="false" outlineLevel="0" collapsed="false">
      <c r="A56" s="5"/>
      <c r="B56" s="5"/>
      <c r="C56" s="5"/>
      <c r="D56" s="12"/>
      <c r="E56" s="5"/>
      <c r="F56" s="5"/>
      <c r="G56" s="9"/>
      <c r="H56" s="5"/>
      <c r="I56" s="5"/>
      <c r="J56" s="12"/>
      <c r="K56" s="12"/>
      <c r="L56" s="12"/>
      <c r="M56" s="5"/>
      <c r="N56" s="5"/>
      <c r="O56" s="5"/>
      <c r="P56" s="6" t="str">
        <f aca="false">IF(G56="","",G56*(1+Allgemein!$B$19))</f>
        <v/>
      </c>
    </row>
    <row r="57" customFormat="false" ht="15" hidden="false" customHeight="false" outlineLevel="0" collapsed="false">
      <c r="A57" s="5"/>
      <c r="B57" s="5"/>
      <c r="C57" s="5"/>
      <c r="D57" s="12"/>
      <c r="E57" s="5"/>
      <c r="F57" s="5"/>
      <c r="G57" s="9"/>
      <c r="H57" s="5"/>
      <c r="I57" s="5"/>
      <c r="J57" s="12"/>
      <c r="K57" s="12"/>
      <c r="L57" s="12"/>
      <c r="M57" s="5"/>
      <c r="N57" s="5"/>
      <c r="O57" s="5"/>
      <c r="P57" s="6" t="str">
        <f aca="false">IF(G57="","",G57*(1+Allgemein!$B$19))</f>
        <v/>
      </c>
    </row>
    <row r="58" customFormat="false" ht="15" hidden="false" customHeight="false" outlineLevel="0" collapsed="false">
      <c r="A58" s="2" t="s">
        <v>165</v>
      </c>
    </row>
    <row r="60" customFormat="false" ht="15" hidden="false" customHeight="false" outlineLevel="0" collapsed="false">
      <c r="A60" s="3" t="s">
        <v>166</v>
      </c>
    </row>
    <row r="61" customFormat="false" ht="15" hidden="false" customHeight="false" outlineLevel="0" collapsed="false">
      <c r="A61" s="2" t="s">
        <v>167</v>
      </c>
    </row>
    <row r="62" customFormat="false" ht="35.05" hidden="false" customHeight="false" outlineLevel="0" collapsed="false">
      <c r="A62" s="7" t="s">
        <v>56</v>
      </c>
      <c r="B62" s="7" t="s">
        <v>57</v>
      </c>
      <c r="C62" s="7" t="s">
        <v>58</v>
      </c>
      <c r="D62" s="7" t="s">
        <v>59</v>
      </c>
      <c r="E62" s="7" t="s">
        <v>60</v>
      </c>
      <c r="F62" s="7" t="s">
        <v>61</v>
      </c>
      <c r="G62" s="7" t="s">
        <v>62</v>
      </c>
      <c r="H62" s="7" t="s">
        <v>67</v>
      </c>
      <c r="I62" s="7" t="s">
        <v>68</v>
      </c>
      <c r="J62" s="7" t="s">
        <v>70</v>
      </c>
      <c r="K62" s="7" t="s">
        <v>71</v>
      </c>
    </row>
    <row r="63" customFormat="false" ht="15" hidden="false" customHeight="false" outlineLevel="0" collapsed="false">
      <c r="A63" s="5" t="s">
        <v>24</v>
      </c>
      <c r="B63" s="5" t="s">
        <v>72</v>
      </c>
      <c r="C63" s="5" t="s">
        <v>168</v>
      </c>
      <c r="D63" s="12" t="n">
        <v>2.5</v>
      </c>
      <c r="E63" s="5" t="s">
        <v>74</v>
      </c>
      <c r="F63" s="5" t="s">
        <v>75</v>
      </c>
      <c r="G63" s="9" t="n">
        <v>420</v>
      </c>
      <c r="H63" s="12" t="n">
        <v>19</v>
      </c>
      <c r="I63" s="5" t="s">
        <v>77</v>
      </c>
      <c r="J63" s="5" t="s">
        <v>78</v>
      </c>
      <c r="K63" s="6" t="n">
        <f aca="false">IF(G63="","",G63*(1+Allgemein!$B$19))</f>
        <v>499.8</v>
      </c>
    </row>
    <row r="64" customFormat="false" ht="15" hidden="false" customHeight="false" outlineLevel="0" collapsed="false">
      <c r="A64" s="5" t="s">
        <v>24</v>
      </c>
      <c r="B64" s="5" t="s">
        <v>72</v>
      </c>
      <c r="C64" s="5" t="s">
        <v>169</v>
      </c>
      <c r="D64" s="12" t="n">
        <v>3.3</v>
      </c>
      <c r="E64" s="5" t="s">
        <v>74</v>
      </c>
      <c r="F64" s="5" t="s">
        <v>75</v>
      </c>
      <c r="G64" s="9" t="n">
        <v>470</v>
      </c>
      <c r="H64" s="12" t="n">
        <v>20</v>
      </c>
      <c r="I64" s="5" t="s">
        <v>77</v>
      </c>
      <c r="J64" s="5" t="s">
        <v>80</v>
      </c>
      <c r="K64" s="6" t="n">
        <f aca="false">IF(G64="","",G64*(1+Allgemein!$B$19))</f>
        <v>559.3</v>
      </c>
    </row>
    <row r="65" customFormat="false" ht="15" hidden="false" customHeight="false" outlineLevel="0" collapsed="false">
      <c r="A65" s="5" t="s">
        <v>24</v>
      </c>
      <c r="B65" s="5" t="s">
        <v>72</v>
      </c>
      <c r="C65" s="5" t="s">
        <v>170</v>
      </c>
      <c r="D65" s="12" t="n">
        <v>4.2</v>
      </c>
      <c r="E65" s="5" t="s">
        <v>74</v>
      </c>
      <c r="F65" s="5" t="s">
        <v>75</v>
      </c>
      <c r="G65" s="9" t="n">
        <v>560</v>
      </c>
      <c r="H65" s="12" t="n">
        <v>21</v>
      </c>
      <c r="I65" s="5" t="s">
        <v>77</v>
      </c>
      <c r="J65" s="5" t="s">
        <v>82</v>
      </c>
      <c r="K65" s="6" t="n">
        <f aca="false">IF(G65="","",G65*(1+Allgemein!$B$19))</f>
        <v>666.4</v>
      </c>
    </row>
    <row r="66" customFormat="false" ht="15" hidden="false" customHeight="false" outlineLevel="0" collapsed="false">
      <c r="A66" s="5" t="s">
        <v>24</v>
      </c>
      <c r="B66" s="5" t="s">
        <v>72</v>
      </c>
      <c r="C66" s="5" t="s">
        <v>171</v>
      </c>
      <c r="D66" s="12" t="n">
        <v>1.5</v>
      </c>
      <c r="E66" s="5" t="s">
        <v>89</v>
      </c>
      <c r="F66" s="5" t="s">
        <v>75</v>
      </c>
      <c r="G66" s="9" t="n">
        <v>540</v>
      </c>
      <c r="H66" s="12" t="n">
        <v>22</v>
      </c>
      <c r="I66" s="5" t="s">
        <v>77</v>
      </c>
      <c r="J66" s="5" t="s">
        <v>172</v>
      </c>
      <c r="K66" s="6" t="n">
        <f aca="false">IF(G66="","",G66*(1+Allgemein!$B$19))</f>
        <v>642.6</v>
      </c>
    </row>
    <row r="67" customFormat="false" ht="15" hidden="false" customHeight="false" outlineLevel="0" collapsed="false">
      <c r="A67" s="5" t="s">
        <v>24</v>
      </c>
      <c r="B67" s="5" t="s">
        <v>72</v>
      </c>
      <c r="C67" s="5" t="s">
        <v>173</v>
      </c>
      <c r="D67" s="12" t="n">
        <v>2.5</v>
      </c>
      <c r="E67" s="5" t="s">
        <v>89</v>
      </c>
      <c r="F67" s="5" t="s">
        <v>75</v>
      </c>
      <c r="G67" s="9" t="n">
        <v>590</v>
      </c>
      <c r="H67" s="12" t="n">
        <v>19</v>
      </c>
      <c r="I67" s="5" t="s">
        <v>77</v>
      </c>
      <c r="J67" s="5" t="s">
        <v>91</v>
      </c>
      <c r="K67" s="6" t="n">
        <f aca="false">IF(G67="","",G67*(1+Allgemein!$B$19))</f>
        <v>702.1</v>
      </c>
    </row>
    <row r="68" customFormat="false" ht="15" hidden="false" customHeight="false" outlineLevel="0" collapsed="false">
      <c r="A68" s="5" t="s">
        <v>24</v>
      </c>
      <c r="B68" s="5" t="s">
        <v>72</v>
      </c>
      <c r="C68" s="5" t="s">
        <v>174</v>
      </c>
      <c r="D68" s="12" t="n">
        <v>3.5</v>
      </c>
      <c r="E68" s="5" t="s">
        <v>89</v>
      </c>
      <c r="F68" s="5" t="s">
        <v>75</v>
      </c>
      <c r="G68" s="9" t="n">
        <v>660</v>
      </c>
      <c r="H68" s="12" t="n">
        <v>19</v>
      </c>
      <c r="I68" s="5" t="s">
        <v>77</v>
      </c>
      <c r="J68" s="5" t="s">
        <v>93</v>
      </c>
      <c r="K68" s="6" t="n">
        <f aca="false">IF(G68="","",G68*(1+Allgemein!$B$19))</f>
        <v>785.4</v>
      </c>
    </row>
    <row r="69" customFormat="false" ht="15" hidden="false" customHeight="false" outlineLevel="0" collapsed="false">
      <c r="A69" s="5" t="s">
        <v>24</v>
      </c>
      <c r="B69" s="5" t="s">
        <v>72</v>
      </c>
      <c r="C69" s="5" t="s">
        <v>175</v>
      </c>
      <c r="D69" s="12" t="n">
        <v>4.6</v>
      </c>
      <c r="E69" s="5" t="s">
        <v>89</v>
      </c>
      <c r="F69" s="5" t="s">
        <v>75</v>
      </c>
      <c r="G69" s="9" t="n">
        <v>760</v>
      </c>
      <c r="H69" s="12" t="n">
        <v>22</v>
      </c>
      <c r="I69" s="5" t="s">
        <v>77</v>
      </c>
      <c r="J69" s="5" t="s">
        <v>95</v>
      </c>
      <c r="K69" s="6" t="n">
        <f aca="false">IF(G69="","",G69*(1+Allgemein!$B$19))</f>
        <v>904.4</v>
      </c>
    </row>
    <row r="70" customFormat="false" ht="15" hidden="false" customHeight="false" outlineLevel="0" collapsed="false">
      <c r="A70" s="5" t="s">
        <v>24</v>
      </c>
      <c r="B70" s="5" t="s">
        <v>72</v>
      </c>
      <c r="C70" s="5" t="s">
        <v>176</v>
      </c>
      <c r="D70" s="12" t="n">
        <v>1.5</v>
      </c>
      <c r="E70" s="5" t="s">
        <v>74</v>
      </c>
      <c r="F70" s="5" t="s">
        <v>75</v>
      </c>
      <c r="G70" s="9" t="n">
        <v>340</v>
      </c>
      <c r="H70" s="12" t="n">
        <v>19</v>
      </c>
      <c r="I70" s="5" t="s">
        <v>77</v>
      </c>
      <c r="J70" s="5" t="s">
        <v>177</v>
      </c>
      <c r="K70" s="6" t="n">
        <f aca="false">IF(G70="","",G70*(1+Allgemein!$B$19))</f>
        <v>404.6</v>
      </c>
    </row>
    <row r="71" customFormat="false" ht="15" hidden="false" customHeight="false" outlineLevel="0" collapsed="false">
      <c r="A71" s="5" t="s">
        <v>24</v>
      </c>
      <c r="B71" s="5" t="s">
        <v>72</v>
      </c>
      <c r="C71" s="5" t="s">
        <v>178</v>
      </c>
      <c r="D71" s="12" t="n">
        <v>2.5</v>
      </c>
      <c r="E71" s="5" t="s">
        <v>74</v>
      </c>
      <c r="F71" s="5" t="s">
        <v>75</v>
      </c>
      <c r="G71" s="9" t="n">
        <v>370</v>
      </c>
      <c r="H71" s="12" t="n">
        <v>19</v>
      </c>
      <c r="I71" s="5" t="s">
        <v>77</v>
      </c>
      <c r="J71" s="5" t="s">
        <v>177</v>
      </c>
      <c r="K71" s="6" t="n">
        <f aca="false">IF(G71="","",G71*(1+Allgemein!$B$19))</f>
        <v>440.3</v>
      </c>
    </row>
    <row r="72" customFormat="false" ht="15" hidden="false" customHeight="false" outlineLevel="0" collapsed="false">
      <c r="A72" s="5" t="s">
        <v>24</v>
      </c>
      <c r="B72" s="5" t="s">
        <v>72</v>
      </c>
      <c r="C72" s="5" t="s">
        <v>179</v>
      </c>
      <c r="D72" s="12" t="n">
        <v>3.3</v>
      </c>
      <c r="E72" s="5" t="s">
        <v>74</v>
      </c>
      <c r="F72" s="5" t="s">
        <v>75</v>
      </c>
      <c r="G72" s="9" t="n">
        <v>410</v>
      </c>
      <c r="H72" s="12" t="n">
        <v>20</v>
      </c>
      <c r="I72" s="5" t="s">
        <v>77</v>
      </c>
      <c r="J72" s="5" t="s">
        <v>177</v>
      </c>
      <c r="K72" s="6" t="n">
        <f aca="false">IF(G72="","",G72*(1+Allgemein!$B$19))</f>
        <v>487.9</v>
      </c>
    </row>
    <row r="73" customFormat="false" ht="15" hidden="false" customHeight="false" outlineLevel="0" collapsed="false">
      <c r="A73" s="5" t="s">
        <v>24</v>
      </c>
      <c r="B73" s="5" t="s">
        <v>72</v>
      </c>
      <c r="C73" s="5" t="s">
        <v>180</v>
      </c>
      <c r="D73" s="12" t="n">
        <v>4.2</v>
      </c>
      <c r="E73" s="5" t="s">
        <v>74</v>
      </c>
      <c r="F73" s="5" t="s">
        <v>75</v>
      </c>
      <c r="G73" s="9" t="n">
        <v>490</v>
      </c>
      <c r="H73" s="12" t="n">
        <v>22</v>
      </c>
      <c r="I73" s="5" t="s">
        <v>77</v>
      </c>
      <c r="J73" s="5" t="s">
        <v>177</v>
      </c>
      <c r="K73" s="6" t="n">
        <f aca="false">IF(G73="","",G73*(1+Allgemein!$B$19))</f>
        <v>583.1</v>
      </c>
    </row>
    <row r="74" customFormat="false" ht="15" hidden="false" customHeight="false" outlineLevel="0" collapsed="false">
      <c r="A74" s="5" t="s">
        <v>24</v>
      </c>
      <c r="B74" s="5" t="s">
        <v>72</v>
      </c>
      <c r="C74" s="5" t="s">
        <v>181</v>
      </c>
      <c r="D74" s="12" t="n">
        <v>5</v>
      </c>
      <c r="E74" s="5" t="s">
        <v>74</v>
      </c>
      <c r="F74" s="5" t="s">
        <v>75</v>
      </c>
      <c r="G74" s="9" t="n">
        <v>560</v>
      </c>
      <c r="H74" s="12" t="n">
        <v>26</v>
      </c>
      <c r="I74" s="5" t="s">
        <v>77</v>
      </c>
      <c r="J74" s="5" t="s">
        <v>177</v>
      </c>
      <c r="K74" s="6" t="n">
        <f aca="false">IF(G74="","",G74*(1+Allgemein!$B$19))</f>
        <v>666.4</v>
      </c>
    </row>
    <row r="75" customFormat="false" ht="15" hidden="false" customHeight="false" outlineLevel="0" collapsed="false">
      <c r="A75" s="5" t="s">
        <v>24</v>
      </c>
      <c r="B75" s="5" t="s">
        <v>72</v>
      </c>
      <c r="C75" s="5" t="s">
        <v>182</v>
      </c>
      <c r="D75" s="12" t="n">
        <v>6.5</v>
      </c>
      <c r="E75" s="5" t="s">
        <v>74</v>
      </c>
      <c r="F75" s="5" t="s">
        <v>75</v>
      </c>
      <c r="G75" s="9" t="n">
        <v>690</v>
      </c>
      <c r="H75" s="12" t="n">
        <v>29</v>
      </c>
      <c r="I75" s="5" t="s">
        <v>77</v>
      </c>
      <c r="J75" s="5" t="s">
        <v>177</v>
      </c>
      <c r="K75" s="6" t="n">
        <f aca="false">IF(G75="","",G75*(1+Allgemein!$B$19))</f>
        <v>821.1</v>
      </c>
    </row>
    <row r="76" customFormat="false" ht="15" hidden="false" customHeight="false" outlineLevel="0" collapsed="false">
      <c r="A76" s="5" t="s">
        <v>24</v>
      </c>
      <c r="B76" s="5" t="s">
        <v>72</v>
      </c>
      <c r="C76" s="5" t="s">
        <v>183</v>
      </c>
      <c r="D76" s="12" t="n">
        <v>1.5</v>
      </c>
      <c r="E76" s="5" t="s">
        <v>74</v>
      </c>
      <c r="F76" s="5" t="s">
        <v>75</v>
      </c>
      <c r="G76" s="9" t="n">
        <v>380</v>
      </c>
      <c r="H76" s="12" t="n">
        <v>19</v>
      </c>
      <c r="I76" s="5" t="s">
        <v>77</v>
      </c>
      <c r="J76" s="5" t="s">
        <v>184</v>
      </c>
      <c r="K76" s="6" t="n">
        <f aca="false">IF(G76="","",G76*(1+Allgemein!$B$19))</f>
        <v>452.2</v>
      </c>
    </row>
    <row r="77" customFormat="false" ht="15" hidden="false" customHeight="false" outlineLevel="0" collapsed="false">
      <c r="A77" s="5" t="s">
        <v>24</v>
      </c>
      <c r="B77" s="5" t="s">
        <v>72</v>
      </c>
      <c r="C77" s="5" t="s">
        <v>185</v>
      </c>
      <c r="D77" s="12" t="n">
        <v>5</v>
      </c>
      <c r="E77" s="5" t="s">
        <v>74</v>
      </c>
      <c r="F77" s="5" t="s">
        <v>75</v>
      </c>
      <c r="G77" s="9" t="n">
        <v>620</v>
      </c>
      <c r="H77" s="12" t="n">
        <v>26</v>
      </c>
      <c r="I77" s="5" t="s">
        <v>77</v>
      </c>
      <c r="J77" s="5" t="s">
        <v>184</v>
      </c>
      <c r="K77" s="6" t="n">
        <f aca="false">IF(G77="","",G77*(1+Allgemein!$B$19))</f>
        <v>737.8</v>
      </c>
    </row>
    <row r="78" customFormat="false" ht="15" hidden="false" customHeight="false" outlineLevel="0" collapsed="false">
      <c r="A78" s="5" t="s">
        <v>24</v>
      </c>
      <c r="B78" s="5" t="s">
        <v>72</v>
      </c>
      <c r="C78" s="5" t="s">
        <v>186</v>
      </c>
      <c r="D78" s="12" t="n">
        <v>6.5</v>
      </c>
      <c r="E78" s="5" t="s">
        <v>74</v>
      </c>
      <c r="F78" s="5" t="s">
        <v>75</v>
      </c>
      <c r="G78" s="9" t="n">
        <v>740</v>
      </c>
      <c r="H78" s="12" t="n">
        <v>29</v>
      </c>
      <c r="I78" s="5" t="s">
        <v>77</v>
      </c>
      <c r="J78" s="5" t="s">
        <v>184</v>
      </c>
      <c r="K78" s="6" t="n">
        <f aca="false">IF(G78="","",G78*(1+Allgemein!$B$19))</f>
        <v>880.6</v>
      </c>
    </row>
    <row r="79" customFormat="false" ht="15" hidden="false" customHeight="false" outlineLevel="0" collapsed="false">
      <c r="A79" s="5" t="s">
        <v>24</v>
      </c>
      <c r="B79" s="5" t="s">
        <v>72</v>
      </c>
      <c r="C79" s="5" t="s">
        <v>187</v>
      </c>
      <c r="D79" s="12" t="n">
        <v>5</v>
      </c>
      <c r="E79" s="5" t="s">
        <v>89</v>
      </c>
      <c r="F79" s="5" t="s">
        <v>75</v>
      </c>
      <c r="G79" s="9" t="n">
        <v>860</v>
      </c>
      <c r="H79" s="12" t="n">
        <v>26</v>
      </c>
      <c r="I79" s="5" t="s">
        <v>77</v>
      </c>
      <c r="J79" s="5" t="s">
        <v>188</v>
      </c>
      <c r="K79" s="6" t="n">
        <f aca="false">IF(G79="","",G79*(1+Allgemein!$B$19))</f>
        <v>1023.4</v>
      </c>
    </row>
    <row r="80" customFormat="false" ht="15" hidden="false" customHeight="false" outlineLevel="0" collapsed="false">
      <c r="A80" s="5" t="s">
        <v>24</v>
      </c>
      <c r="B80" s="5" t="s">
        <v>72</v>
      </c>
      <c r="C80" s="5" t="s">
        <v>189</v>
      </c>
      <c r="D80" s="12" t="n">
        <v>6.1</v>
      </c>
      <c r="E80" s="5" t="s">
        <v>89</v>
      </c>
      <c r="F80" s="5" t="s">
        <v>75</v>
      </c>
      <c r="G80" s="9" t="n">
        <v>960</v>
      </c>
      <c r="H80" s="12" t="n">
        <v>27</v>
      </c>
      <c r="I80" s="5" t="s">
        <v>77</v>
      </c>
      <c r="J80" s="5" t="s">
        <v>188</v>
      </c>
      <c r="K80" s="6" t="n">
        <f aca="false">IF(G80="","",G80*(1+Allgemein!$B$19))</f>
        <v>1142.4</v>
      </c>
    </row>
    <row r="81" customFormat="false" ht="15" hidden="false" customHeight="false" outlineLevel="0" collapsed="false">
      <c r="A81" s="5" t="s">
        <v>24</v>
      </c>
      <c r="B81" s="5" t="s">
        <v>72</v>
      </c>
      <c r="C81" s="5" t="s">
        <v>190</v>
      </c>
      <c r="D81" s="12" t="n">
        <v>7</v>
      </c>
      <c r="E81" s="5" t="s">
        <v>89</v>
      </c>
      <c r="F81" s="5" t="s">
        <v>75</v>
      </c>
      <c r="G81" s="9" t="n">
        <v>1040</v>
      </c>
      <c r="H81" s="12" t="n">
        <v>28</v>
      </c>
      <c r="I81" s="5" t="s">
        <v>77</v>
      </c>
      <c r="J81" s="5" t="s">
        <v>188</v>
      </c>
      <c r="K81" s="6" t="n">
        <f aca="false">IF(G81="","",G81*(1+Allgemein!$B$19))</f>
        <v>1237.6</v>
      </c>
    </row>
    <row r="82" customFormat="false" ht="15" hidden="false" customHeight="false" outlineLevel="0" collapsed="false">
      <c r="A82" s="5" t="s">
        <v>24</v>
      </c>
      <c r="B82" s="5" t="s">
        <v>72</v>
      </c>
      <c r="C82" s="5" t="s">
        <v>191</v>
      </c>
      <c r="D82" s="12" t="n">
        <v>1.5</v>
      </c>
      <c r="E82" s="5" t="s">
        <v>89</v>
      </c>
      <c r="F82" s="5" t="s">
        <v>75</v>
      </c>
      <c r="G82" s="9" t="n">
        <v>600</v>
      </c>
      <c r="H82" s="12" t="n">
        <v>22</v>
      </c>
      <c r="I82" s="5" t="s">
        <v>77</v>
      </c>
      <c r="J82" s="5" t="s">
        <v>192</v>
      </c>
      <c r="K82" s="6" t="n">
        <f aca="false">IF(G82="","",G82*(1+Allgemein!$B$19))</f>
        <v>714</v>
      </c>
    </row>
    <row r="83" customFormat="false" ht="15" hidden="false" customHeight="false" outlineLevel="0" collapsed="false">
      <c r="A83" s="5" t="s">
        <v>24</v>
      </c>
      <c r="B83" s="5" t="s">
        <v>72</v>
      </c>
      <c r="C83" s="5" t="s">
        <v>193</v>
      </c>
      <c r="D83" s="12" t="n">
        <v>2.5</v>
      </c>
      <c r="E83" s="5" t="s">
        <v>89</v>
      </c>
      <c r="F83" s="5" t="s">
        <v>75</v>
      </c>
      <c r="G83" s="9" t="n">
        <v>650</v>
      </c>
      <c r="H83" s="12" t="n">
        <v>19</v>
      </c>
      <c r="I83" s="5" t="s">
        <v>77</v>
      </c>
      <c r="J83" s="5" t="s">
        <v>192</v>
      </c>
      <c r="K83" s="6" t="n">
        <f aca="false">IF(G83="","",G83*(1+Allgemein!$B$19))</f>
        <v>773.5</v>
      </c>
    </row>
    <row r="84" customFormat="false" ht="15" hidden="false" customHeight="false" outlineLevel="0" collapsed="false">
      <c r="A84" s="5" t="s">
        <v>24</v>
      </c>
      <c r="B84" s="5" t="s">
        <v>72</v>
      </c>
      <c r="C84" s="5" t="s">
        <v>194</v>
      </c>
      <c r="D84" s="12" t="n">
        <v>3.5</v>
      </c>
      <c r="E84" s="5" t="s">
        <v>89</v>
      </c>
      <c r="F84" s="5" t="s">
        <v>75</v>
      </c>
      <c r="G84" s="9" t="n">
        <v>720</v>
      </c>
      <c r="H84" s="12" t="n">
        <v>19</v>
      </c>
      <c r="I84" s="5" t="s">
        <v>77</v>
      </c>
      <c r="J84" s="5" t="s">
        <v>192</v>
      </c>
      <c r="K84" s="6" t="n">
        <f aca="false">IF(G84="","",G84*(1+Allgemein!$B$19))</f>
        <v>856.8</v>
      </c>
    </row>
    <row r="85" customFormat="false" ht="15" hidden="false" customHeight="false" outlineLevel="0" collapsed="false">
      <c r="A85" s="5" t="s">
        <v>24</v>
      </c>
      <c r="B85" s="5" t="s">
        <v>72</v>
      </c>
      <c r="C85" s="5" t="s">
        <v>195</v>
      </c>
      <c r="D85" s="12" t="n">
        <v>4.6</v>
      </c>
      <c r="E85" s="5" t="s">
        <v>89</v>
      </c>
      <c r="F85" s="5" t="s">
        <v>75</v>
      </c>
      <c r="G85" s="9" t="n">
        <v>820</v>
      </c>
      <c r="H85" s="12" t="n">
        <v>22</v>
      </c>
      <c r="I85" s="5" t="s">
        <v>77</v>
      </c>
      <c r="J85" s="5" t="s">
        <v>192</v>
      </c>
      <c r="K85" s="6" t="n">
        <f aca="false">IF(G85="","",G85*(1+Allgemein!$B$19))</f>
        <v>975.8</v>
      </c>
    </row>
    <row r="86" customFormat="false" ht="15" hidden="false" customHeight="false" outlineLevel="0" collapsed="false">
      <c r="A86" s="5" t="s">
        <v>24</v>
      </c>
      <c r="B86" s="5" t="s">
        <v>72</v>
      </c>
      <c r="C86" s="5" t="s">
        <v>196</v>
      </c>
      <c r="D86" s="12" t="n">
        <v>5</v>
      </c>
      <c r="E86" s="5" t="s">
        <v>89</v>
      </c>
      <c r="F86" s="5" t="s">
        <v>75</v>
      </c>
      <c r="G86" s="9" t="n">
        <v>920</v>
      </c>
      <c r="H86" s="12" t="n">
        <v>26</v>
      </c>
      <c r="I86" s="5" t="s">
        <v>77</v>
      </c>
      <c r="J86" s="5" t="s">
        <v>192</v>
      </c>
      <c r="K86" s="6" t="n">
        <f aca="false">IF(G86="","",G86*(1+Allgemein!$B$19))</f>
        <v>1094.8</v>
      </c>
    </row>
    <row r="87" customFormat="false" ht="15" hidden="false" customHeight="false" outlineLevel="0" collapsed="false">
      <c r="A87" s="5" t="s">
        <v>24</v>
      </c>
      <c r="B87" s="5" t="s">
        <v>72</v>
      </c>
      <c r="C87" s="5" t="s">
        <v>197</v>
      </c>
      <c r="D87" s="12" t="n">
        <v>6.1</v>
      </c>
      <c r="E87" s="5" t="s">
        <v>89</v>
      </c>
      <c r="F87" s="5" t="s">
        <v>75</v>
      </c>
      <c r="G87" s="9" t="n">
        <v>1020</v>
      </c>
      <c r="H87" s="12" t="n">
        <v>27</v>
      </c>
      <c r="I87" s="5" t="s">
        <v>77</v>
      </c>
      <c r="J87" s="5" t="s">
        <v>192</v>
      </c>
      <c r="K87" s="6" t="n">
        <f aca="false">IF(G87="","",G87*(1+Allgemein!$B$19))</f>
        <v>1213.8</v>
      </c>
    </row>
    <row r="88" customFormat="false" ht="15" hidden="false" customHeight="false" outlineLevel="0" collapsed="false">
      <c r="A88" s="5" t="s">
        <v>24</v>
      </c>
      <c r="B88" s="5" t="s">
        <v>72</v>
      </c>
      <c r="C88" s="5" t="s">
        <v>198</v>
      </c>
      <c r="D88" s="12" t="n">
        <v>7</v>
      </c>
      <c r="E88" s="5" t="s">
        <v>89</v>
      </c>
      <c r="F88" s="5" t="s">
        <v>75</v>
      </c>
      <c r="G88" s="9" t="n">
        <v>1100</v>
      </c>
      <c r="H88" s="12" t="n">
        <v>28</v>
      </c>
      <c r="I88" s="5" t="s">
        <v>77</v>
      </c>
      <c r="J88" s="5" t="s">
        <v>192</v>
      </c>
      <c r="K88" s="6" t="n">
        <f aca="false">IF(G88="","",G88*(1+Allgemein!$B$19))</f>
        <v>1309</v>
      </c>
    </row>
    <row r="89" customFormat="false" ht="15" hidden="false" customHeight="false" outlineLevel="0" collapsed="false">
      <c r="A89" s="5" t="s">
        <v>24</v>
      </c>
      <c r="B89" s="5" t="s">
        <v>72</v>
      </c>
      <c r="C89" s="5" t="s">
        <v>199</v>
      </c>
      <c r="D89" s="12" t="n">
        <v>2.5</v>
      </c>
      <c r="E89" s="5" t="s">
        <v>89</v>
      </c>
      <c r="F89" s="5" t="s">
        <v>75</v>
      </c>
      <c r="G89" s="9" t="n">
        <v>790</v>
      </c>
      <c r="H89" s="12" t="n">
        <v>19</v>
      </c>
      <c r="I89" s="5" t="s">
        <v>77</v>
      </c>
      <c r="J89" s="5" t="s">
        <v>200</v>
      </c>
      <c r="K89" s="6" t="n">
        <f aca="false">IF(G89="","",G89*(1+Allgemein!$B$19))</f>
        <v>940.1</v>
      </c>
    </row>
    <row r="90" customFormat="false" ht="15" hidden="false" customHeight="false" outlineLevel="0" collapsed="false">
      <c r="A90" s="5" t="s">
        <v>24</v>
      </c>
      <c r="B90" s="5" t="s">
        <v>72</v>
      </c>
      <c r="C90" s="5" t="s">
        <v>201</v>
      </c>
      <c r="D90" s="12" t="n">
        <v>3.5</v>
      </c>
      <c r="E90" s="5" t="s">
        <v>89</v>
      </c>
      <c r="F90" s="5" t="s">
        <v>75</v>
      </c>
      <c r="G90" s="9" t="n">
        <v>860</v>
      </c>
      <c r="H90" s="12" t="n">
        <v>19</v>
      </c>
      <c r="I90" s="5" t="s">
        <v>77</v>
      </c>
      <c r="J90" s="5" t="s">
        <v>200</v>
      </c>
      <c r="K90" s="6" t="n">
        <f aca="false">IF(G90="","",G90*(1+Allgemein!$B$19))</f>
        <v>1023.4</v>
      </c>
    </row>
    <row r="91" customFormat="false" ht="15" hidden="false" customHeight="false" outlineLevel="0" collapsed="false">
      <c r="A91" s="5" t="s">
        <v>24</v>
      </c>
      <c r="B91" s="5" t="s">
        <v>72</v>
      </c>
      <c r="C91" s="5" t="s">
        <v>202</v>
      </c>
      <c r="D91" s="12" t="n">
        <v>4.6</v>
      </c>
      <c r="E91" s="5" t="s">
        <v>89</v>
      </c>
      <c r="F91" s="5" t="s">
        <v>75</v>
      </c>
      <c r="G91" s="9" t="n">
        <v>960</v>
      </c>
      <c r="H91" s="12" t="n">
        <v>21</v>
      </c>
      <c r="I91" s="5" t="s">
        <v>77</v>
      </c>
      <c r="J91" s="5" t="s">
        <v>200</v>
      </c>
      <c r="K91" s="6" t="n">
        <f aca="false">IF(G91="","",G91*(1+Allgemein!$B$19))</f>
        <v>1142.4</v>
      </c>
    </row>
    <row r="92" customFormat="false" ht="15" hidden="false" customHeight="false" outlineLevel="0" collapsed="false">
      <c r="A92" s="5" t="s">
        <v>24</v>
      </c>
      <c r="B92" s="5" t="s">
        <v>72</v>
      </c>
      <c r="C92" s="5" t="s">
        <v>203</v>
      </c>
      <c r="D92" s="12" t="n">
        <v>2.5</v>
      </c>
      <c r="E92" s="5" t="s">
        <v>89</v>
      </c>
      <c r="F92" s="5" t="s">
        <v>75</v>
      </c>
      <c r="G92" s="9" t="n">
        <v>990</v>
      </c>
      <c r="H92" s="12" t="n">
        <v>24</v>
      </c>
      <c r="I92" s="5" t="s">
        <v>77</v>
      </c>
      <c r="J92" s="5" t="s">
        <v>204</v>
      </c>
      <c r="K92" s="6" t="n">
        <f aca="false">IF(G92="","",G92*(1+Allgemein!$B$19))</f>
        <v>1178.1</v>
      </c>
    </row>
    <row r="93" customFormat="false" ht="15" hidden="false" customHeight="false" outlineLevel="0" collapsed="false">
      <c r="A93" s="5" t="s">
        <v>24</v>
      </c>
      <c r="B93" s="5" t="s">
        <v>72</v>
      </c>
      <c r="C93" s="5" t="s">
        <v>205</v>
      </c>
      <c r="D93" s="12" t="n">
        <v>3.5</v>
      </c>
      <c r="E93" s="5" t="s">
        <v>89</v>
      </c>
      <c r="F93" s="5" t="s">
        <v>75</v>
      </c>
      <c r="G93" s="9" t="n">
        <v>1090</v>
      </c>
      <c r="H93" s="12" t="n">
        <v>26</v>
      </c>
      <c r="I93" s="5" t="s">
        <v>77</v>
      </c>
      <c r="J93" s="5" t="s">
        <v>204</v>
      </c>
      <c r="K93" s="6" t="n">
        <f aca="false">IF(G93="","",G93*(1+Allgemein!$B$19))</f>
        <v>1297.1</v>
      </c>
    </row>
    <row r="94" customFormat="false" ht="15" hidden="false" customHeight="false" outlineLevel="0" collapsed="false">
      <c r="A94" s="5" t="s">
        <v>24</v>
      </c>
      <c r="B94" s="5" t="s">
        <v>72</v>
      </c>
      <c r="C94" s="5" t="s">
        <v>206</v>
      </c>
      <c r="D94" s="12" t="n">
        <v>5</v>
      </c>
      <c r="E94" s="5" t="s">
        <v>89</v>
      </c>
      <c r="F94" s="5" t="s">
        <v>75</v>
      </c>
      <c r="G94" s="9" t="n">
        <v>1290</v>
      </c>
      <c r="H94" s="12" t="n">
        <v>25</v>
      </c>
      <c r="I94" s="5" t="s">
        <v>77</v>
      </c>
      <c r="J94" s="5" t="s">
        <v>204</v>
      </c>
      <c r="K94" s="6" t="n">
        <f aca="false">IF(G94="","",G94*(1+Allgemein!$B$19))</f>
        <v>1535.1</v>
      </c>
    </row>
    <row r="95" customFormat="false" ht="15" hidden="false" customHeight="false" outlineLevel="0" collapsed="false">
      <c r="A95" s="5" t="s">
        <v>24</v>
      </c>
      <c r="B95" s="5" t="s">
        <v>72</v>
      </c>
      <c r="C95" s="5" t="s">
        <v>207</v>
      </c>
      <c r="D95" s="12" t="n">
        <v>2.5</v>
      </c>
      <c r="E95" s="5" t="s">
        <v>89</v>
      </c>
      <c r="F95" s="5" t="s">
        <v>75</v>
      </c>
      <c r="G95" s="9" t="n">
        <v>1190</v>
      </c>
      <c r="H95" s="12" t="n">
        <v>24</v>
      </c>
      <c r="I95" s="5" t="s">
        <v>77</v>
      </c>
      <c r="J95" s="5" t="s">
        <v>208</v>
      </c>
      <c r="K95" s="6" t="n">
        <f aca="false">IF(G95="","",G95*(1+Allgemein!$B$19))</f>
        <v>1416.1</v>
      </c>
    </row>
    <row r="96" customFormat="false" ht="15" hidden="false" customHeight="false" outlineLevel="0" collapsed="false">
      <c r="A96" s="5" t="s">
        <v>24</v>
      </c>
      <c r="B96" s="5" t="s">
        <v>72</v>
      </c>
      <c r="C96" s="5" t="s">
        <v>209</v>
      </c>
      <c r="D96" s="12" t="n">
        <v>3.5</v>
      </c>
      <c r="E96" s="5" t="s">
        <v>89</v>
      </c>
      <c r="F96" s="5" t="s">
        <v>75</v>
      </c>
      <c r="G96" s="9" t="n">
        <v>1290</v>
      </c>
      <c r="H96" s="12" t="n">
        <v>26</v>
      </c>
      <c r="I96" s="5" t="s">
        <v>77</v>
      </c>
      <c r="J96" s="5" t="s">
        <v>208</v>
      </c>
      <c r="K96" s="6" t="n">
        <f aca="false">IF(G96="","",G96*(1+Allgemein!$B$19))</f>
        <v>1535.1</v>
      </c>
    </row>
    <row r="97" customFormat="false" ht="15" hidden="false" customHeight="false" outlineLevel="0" collapsed="false">
      <c r="A97" s="5" t="s">
        <v>24</v>
      </c>
      <c r="B97" s="5" t="s">
        <v>72</v>
      </c>
      <c r="C97" s="5" t="s">
        <v>210</v>
      </c>
      <c r="D97" s="12" t="n">
        <v>5</v>
      </c>
      <c r="E97" s="5" t="s">
        <v>89</v>
      </c>
      <c r="F97" s="5" t="s">
        <v>75</v>
      </c>
      <c r="G97" s="9" t="n">
        <v>1490</v>
      </c>
      <c r="H97" s="12" t="n">
        <v>25</v>
      </c>
      <c r="I97" s="5" t="s">
        <v>77</v>
      </c>
      <c r="J97" s="5" t="s">
        <v>208</v>
      </c>
      <c r="K97" s="6" t="n">
        <f aca="false">IF(G97="","",G97*(1+Allgemein!$B$19))</f>
        <v>1773.1</v>
      </c>
    </row>
    <row r="98" customFormat="false" ht="15" hidden="false" customHeight="false" outlineLevel="0" collapsed="false">
      <c r="A98" s="5" t="s">
        <v>24</v>
      </c>
      <c r="B98" s="5" t="s">
        <v>72</v>
      </c>
      <c r="C98" s="5" t="s">
        <v>211</v>
      </c>
      <c r="D98" s="12" t="n">
        <v>2.5</v>
      </c>
      <c r="E98" s="5" t="s">
        <v>74</v>
      </c>
      <c r="F98" s="5" t="s">
        <v>143</v>
      </c>
      <c r="G98" s="9" t="n">
        <v>690</v>
      </c>
      <c r="H98" s="12" t="n">
        <v>23</v>
      </c>
      <c r="I98" s="5" t="s">
        <v>77</v>
      </c>
      <c r="J98" s="5" t="s">
        <v>146</v>
      </c>
      <c r="K98" s="6" t="n">
        <f aca="false">IF(G98="","",G98*(1+Allgemein!$B$19))</f>
        <v>821.1</v>
      </c>
    </row>
    <row r="99" customFormat="false" ht="15" hidden="false" customHeight="false" outlineLevel="0" collapsed="false">
      <c r="A99" s="5" t="s">
        <v>24</v>
      </c>
      <c r="B99" s="5" t="s">
        <v>72</v>
      </c>
      <c r="C99" s="5" t="s">
        <v>212</v>
      </c>
      <c r="D99" s="12" t="n">
        <v>3.5</v>
      </c>
      <c r="E99" s="5" t="s">
        <v>74</v>
      </c>
      <c r="F99" s="5" t="s">
        <v>143</v>
      </c>
      <c r="G99" s="9" t="n">
        <v>760</v>
      </c>
      <c r="H99" s="12" t="n">
        <v>24</v>
      </c>
      <c r="I99" s="5" t="s">
        <v>77</v>
      </c>
      <c r="J99" s="5" t="s">
        <v>146</v>
      </c>
      <c r="K99" s="6" t="n">
        <f aca="false">IF(G99="","",G99*(1+Allgemein!$B$19))</f>
        <v>904.4</v>
      </c>
    </row>
    <row r="100" customFormat="false" ht="15" hidden="false" customHeight="false" outlineLevel="0" collapsed="false">
      <c r="A100" s="5" t="s">
        <v>24</v>
      </c>
      <c r="B100" s="5" t="s">
        <v>72</v>
      </c>
      <c r="C100" s="5" t="s">
        <v>213</v>
      </c>
      <c r="D100" s="12" t="n">
        <v>5</v>
      </c>
      <c r="E100" s="5" t="s">
        <v>74</v>
      </c>
      <c r="F100" s="5" t="s">
        <v>143</v>
      </c>
      <c r="G100" s="9" t="n">
        <v>890</v>
      </c>
      <c r="H100" s="12" t="n">
        <v>37</v>
      </c>
      <c r="I100" s="5" t="s">
        <v>77</v>
      </c>
      <c r="J100" s="5" t="s">
        <v>146</v>
      </c>
      <c r="K100" s="6" t="n">
        <f aca="false">IF(G100="","",G100*(1+Allgemein!$B$19))</f>
        <v>1059.1</v>
      </c>
    </row>
    <row r="101" customFormat="false" ht="15" hidden="false" customHeight="false" outlineLevel="0" collapsed="false">
      <c r="A101" s="5" t="s">
        <v>24</v>
      </c>
      <c r="B101" s="5" t="s">
        <v>72</v>
      </c>
      <c r="C101" s="5" t="s">
        <v>214</v>
      </c>
      <c r="D101" s="12" t="n">
        <v>2.7</v>
      </c>
      <c r="E101" s="5" t="s">
        <v>74</v>
      </c>
      <c r="F101" s="5" t="s">
        <v>215</v>
      </c>
      <c r="G101" s="9" t="n">
        <v>790</v>
      </c>
      <c r="H101" s="12" t="n">
        <v>27</v>
      </c>
      <c r="I101" s="5" t="s">
        <v>77</v>
      </c>
      <c r="J101" s="5" t="s">
        <v>216</v>
      </c>
      <c r="K101" s="6" t="n">
        <f aca="false">IF(G101="","",G101*(1+Allgemein!$B$19))</f>
        <v>940.1</v>
      </c>
    </row>
    <row r="102" customFormat="false" ht="15" hidden="false" customHeight="false" outlineLevel="0" collapsed="false">
      <c r="A102" s="5" t="s">
        <v>24</v>
      </c>
      <c r="B102" s="5" t="s">
        <v>72</v>
      </c>
      <c r="C102" s="5" t="s">
        <v>217</v>
      </c>
      <c r="D102" s="12" t="n">
        <v>3.7</v>
      </c>
      <c r="E102" s="5" t="s">
        <v>74</v>
      </c>
      <c r="F102" s="5" t="s">
        <v>215</v>
      </c>
      <c r="G102" s="9" t="n">
        <v>850</v>
      </c>
      <c r="H102" s="12" t="n">
        <v>27</v>
      </c>
      <c r="I102" s="5" t="s">
        <v>77</v>
      </c>
      <c r="J102" s="5" t="s">
        <v>218</v>
      </c>
      <c r="K102" s="6" t="n">
        <f aca="false">IF(G102="","",G102*(1+Allgemein!$B$19))</f>
        <v>1011.5</v>
      </c>
    </row>
    <row r="103" customFormat="false" ht="15" hidden="false" customHeight="false" outlineLevel="0" collapsed="false">
      <c r="A103" s="5" t="s">
        <v>24</v>
      </c>
      <c r="B103" s="5" t="s">
        <v>72</v>
      </c>
      <c r="C103" s="5" t="s">
        <v>219</v>
      </c>
      <c r="D103" s="12" t="n">
        <v>4.5</v>
      </c>
      <c r="E103" s="5" t="s">
        <v>74</v>
      </c>
      <c r="F103" s="5" t="s">
        <v>215</v>
      </c>
      <c r="G103" s="9" t="n">
        <v>930</v>
      </c>
      <c r="H103" s="12" t="n">
        <v>24</v>
      </c>
      <c r="I103" s="5" t="s">
        <v>77</v>
      </c>
      <c r="J103" s="5" t="s">
        <v>220</v>
      </c>
      <c r="K103" s="6" t="n">
        <f aca="false">IF(G103="","",G103*(1+Allgemein!$B$19))</f>
        <v>1106.7</v>
      </c>
    </row>
    <row r="104" customFormat="false" ht="15" hidden="false" customHeight="false" outlineLevel="0" collapsed="false">
      <c r="A104" s="5" t="s">
        <v>24</v>
      </c>
      <c r="B104" s="5" t="s">
        <v>72</v>
      </c>
      <c r="C104" s="5" t="s">
        <v>221</v>
      </c>
      <c r="D104" s="12" t="n">
        <v>6</v>
      </c>
      <c r="E104" s="5" t="s">
        <v>74</v>
      </c>
      <c r="F104" s="5" t="s">
        <v>215</v>
      </c>
      <c r="G104" s="9" t="n">
        <v>1090</v>
      </c>
      <c r="H104" s="12" t="n">
        <v>32</v>
      </c>
      <c r="I104" s="5" t="s">
        <v>77</v>
      </c>
      <c r="J104" s="5" t="s">
        <v>222</v>
      </c>
      <c r="K104" s="6" t="n">
        <f aca="false">IF(G104="","",G104*(1+Allgemein!$B$19))</f>
        <v>1297.1</v>
      </c>
    </row>
    <row r="105" customFormat="false" ht="15" hidden="false" customHeight="false" outlineLevel="0" collapsed="false">
      <c r="A105" s="5" t="s">
        <v>24</v>
      </c>
      <c r="B105" s="5" t="s">
        <v>72</v>
      </c>
      <c r="C105" s="5" t="s">
        <v>223</v>
      </c>
      <c r="D105" s="12" t="n">
        <v>7</v>
      </c>
      <c r="E105" s="5" t="s">
        <v>74</v>
      </c>
      <c r="F105" s="5" t="s">
        <v>215</v>
      </c>
      <c r="G105" s="9" t="n">
        <v>1190</v>
      </c>
      <c r="H105" s="12" t="n">
        <v>33</v>
      </c>
      <c r="I105" s="5" t="s">
        <v>77</v>
      </c>
      <c r="J105" s="5" t="s">
        <v>224</v>
      </c>
      <c r="K105" s="6" t="n">
        <f aca="false">IF(G105="","",G105*(1+Allgemein!$B$19))</f>
        <v>1416.1</v>
      </c>
    </row>
    <row r="106" customFormat="false" ht="15" hidden="false" customHeight="false" outlineLevel="0" collapsed="false">
      <c r="A106" s="5" t="s">
        <v>24</v>
      </c>
      <c r="B106" s="5" t="s">
        <v>72</v>
      </c>
      <c r="C106" s="5" t="s">
        <v>225</v>
      </c>
      <c r="D106" s="12" t="n">
        <v>2.7</v>
      </c>
      <c r="E106" s="5" t="s">
        <v>74</v>
      </c>
      <c r="F106" s="5" t="s">
        <v>226</v>
      </c>
      <c r="G106" s="9" t="n">
        <v>990</v>
      </c>
      <c r="H106" s="12" t="n">
        <v>30</v>
      </c>
      <c r="I106" s="5" t="s">
        <v>77</v>
      </c>
      <c r="J106" s="5" t="s">
        <v>227</v>
      </c>
      <c r="K106" s="6" t="n">
        <f aca="false">IF(G106="","",G106*(1+Allgemein!$B$19))</f>
        <v>1178.1</v>
      </c>
    </row>
    <row r="107" customFormat="false" ht="15" hidden="false" customHeight="false" outlineLevel="0" collapsed="false">
      <c r="A107" s="5" t="s">
        <v>24</v>
      </c>
      <c r="B107" s="5" t="s">
        <v>72</v>
      </c>
      <c r="C107" s="5" t="s">
        <v>228</v>
      </c>
      <c r="D107" s="12" t="n">
        <v>3.7</v>
      </c>
      <c r="E107" s="5" t="s">
        <v>74</v>
      </c>
      <c r="F107" s="5" t="s">
        <v>226</v>
      </c>
      <c r="G107" s="9" t="n">
        <v>1050</v>
      </c>
      <c r="H107" s="12" t="n">
        <v>33</v>
      </c>
      <c r="I107" s="5" t="s">
        <v>77</v>
      </c>
      <c r="J107" s="5" t="s">
        <v>227</v>
      </c>
      <c r="K107" s="6" t="n">
        <f aca="false">IF(G107="","",G107*(1+Allgemein!$B$19))</f>
        <v>1249.5</v>
      </c>
    </row>
    <row r="108" customFormat="false" ht="15" hidden="false" customHeight="false" outlineLevel="0" collapsed="false">
      <c r="A108" s="5" t="s">
        <v>24</v>
      </c>
      <c r="B108" s="5" t="s">
        <v>72</v>
      </c>
      <c r="C108" s="5" t="s">
        <v>229</v>
      </c>
      <c r="D108" s="12" t="n">
        <v>4.5</v>
      </c>
      <c r="E108" s="5" t="s">
        <v>74</v>
      </c>
      <c r="F108" s="5" t="s">
        <v>226</v>
      </c>
      <c r="G108" s="9" t="n">
        <v>1150</v>
      </c>
      <c r="H108" s="12" t="n">
        <v>33</v>
      </c>
      <c r="I108" s="5" t="s">
        <v>77</v>
      </c>
      <c r="J108" s="5" t="s">
        <v>227</v>
      </c>
      <c r="K108" s="6" t="n">
        <f aca="false">IF(G108="","",G108*(1+Allgemein!$B$19))</f>
        <v>1368.5</v>
      </c>
    </row>
    <row r="109" customFormat="false" ht="15" hidden="false" customHeight="false" outlineLevel="0" collapsed="false">
      <c r="A109" s="5" t="s">
        <v>24</v>
      </c>
      <c r="B109" s="5" t="s">
        <v>72</v>
      </c>
      <c r="C109" s="5" t="s">
        <v>230</v>
      </c>
      <c r="D109" s="12" t="n">
        <v>1.5</v>
      </c>
      <c r="E109" s="5" t="s">
        <v>89</v>
      </c>
      <c r="F109" s="5" t="s">
        <v>226</v>
      </c>
      <c r="G109" s="9" t="n">
        <v>1090</v>
      </c>
      <c r="H109" s="12" t="n">
        <v>25</v>
      </c>
      <c r="I109" s="5" t="s">
        <v>77</v>
      </c>
      <c r="J109" s="5" t="s">
        <v>231</v>
      </c>
      <c r="K109" s="6" t="n">
        <f aca="false">IF(G109="","",G109*(1+Allgemein!$B$19))</f>
        <v>1297.1</v>
      </c>
    </row>
    <row r="110" customFormat="false" ht="15" hidden="false" customHeight="false" outlineLevel="0" collapsed="false">
      <c r="A110" s="5" t="s">
        <v>24</v>
      </c>
      <c r="B110" s="5" t="s">
        <v>72</v>
      </c>
      <c r="C110" s="5" t="s">
        <v>232</v>
      </c>
      <c r="D110" s="12" t="n">
        <v>2.5</v>
      </c>
      <c r="E110" s="5" t="s">
        <v>89</v>
      </c>
      <c r="F110" s="5" t="s">
        <v>226</v>
      </c>
      <c r="G110" s="9" t="n">
        <v>1150</v>
      </c>
      <c r="H110" s="12" t="n">
        <v>39</v>
      </c>
      <c r="I110" s="5" t="s">
        <v>77</v>
      </c>
      <c r="J110" s="5" t="s">
        <v>231</v>
      </c>
      <c r="K110" s="6" t="n">
        <f aca="false">IF(G110="","",G110*(1+Allgemein!$B$19))</f>
        <v>1368.5</v>
      </c>
    </row>
    <row r="111" customFormat="false" ht="15" hidden="false" customHeight="false" outlineLevel="0" collapsed="false">
      <c r="A111" s="5" t="s">
        <v>24</v>
      </c>
      <c r="B111" s="5" t="s">
        <v>72</v>
      </c>
      <c r="C111" s="5" t="s">
        <v>233</v>
      </c>
      <c r="D111" s="12" t="n">
        <v>3.6</v>
      </c>
      <c r="E111" s="5" t="s">
        <v>89</v>
      </c>
      <c r="F111" s="5" t="s">
        <v>226</v>
      </c>
      <c r="G111" s="9" t="n">
        <v>1190</v>
      </c>
      <c r="H111" s="12" t="n">
        <v>39</v>
      </c>
      <c r="I111" s="5" t="s">
        <v>77</v>
      </c>
      <c r="J111" s="5" t="s">
        <v>231</v>
      </c>
      <c r="K111" s="6" t="n">
        <f aca="false">IF(G111="","",G111*(1+Allgemein!$B$19))</f>
        <v>1416.1</v>
      </c>
    </row>
    <row r="112" customFormat="false" ht="15" hidden="false" customHeight="false" outlineLevel="0" collapsed="false">
      <c r="A112" s="5" t="s">
        <v>24</v>
      </c>
      <c r="B112" s="5" t="s">
        <v>72</v>
      </c>
      <c r="C112" s="5" t="s">
        <v>234</v>
      </c>
      <c r="D112" s="12" t="n">
        <v>4.6</v>
      </c>
      <c r="E112" s="5" t="s">
        <v>89</v>
      </c>
      <c r="F112" s="5" t="s">
        <v>226</v>
      </c>
      <c r="G112" s="9" t="n">
        <v>1290</v>
      </c>
      <c r="H112" s="12" t="n">
        <v>33</v>
      </c>
      <c r="I112" s="5" t="s">
        <v>77</v>
      </c>
      <c r="J112" s="5" t="s">
        <v>231</v>
      </c>
      <c r="K112" s="6" t="n">
        <f aca="false">IF(G112="","",G112*(1+Allgemein!$B$19))</f>
        <v>1535.1</v>
      </c>
    </row>
    <row r="113" customFormat="false" ht="15" hidden="false" customHeight="false" outlineLevel="0" collapsed="false">
      <c r="A113" s="5" t="s">
        <v>24</v>
      </c>
      <c r="B113" s="5" t="s">
        <v>72</v>
      </c>
      <c r="C113" s="5" t="s">
        <v>235</v>
      </c>
      <c r="D113" s="12" t="n">
        <v>7</v>
      </c>
      <c r="E113" s="5" t="s">
        <v>89</v>
      </c>
      <c r="F113" s="5" t="s">
        <v>226</v>
      </c>
      <c r="G113" s="9" t="n">
        <v>1490</v>
      </c>
      <c r="H113" s="12" t="n">
        <v>50</v>
      </c>
      <c r="I113" s="5" t="s">
        <v>77</v>
      </c>
      <c r="J113" s="5" t="s">
        <v>231</v>
      </c>
      <c r="K113" s="6" t="n">
        <f aca="false">IF(G113="","",G113*(1+Allgemein!$B$19))</f>
        <v>1773.1</v>
      </c>
    </row>
    <row r="114" customFormat="false" ht="15" hidden="false" customHeight="false" outlineLevel="0" collapsed="false">
      <c r="A114" s="5" t="s">
        <v>24</v>
      </c>
      <c r="B114" s="5" t="s">
        <v>149</v>
      </c>
      <c r="C114" s="5" t="s">
        <v>236</v>
      </c>
      <c r="D114" s="12" t="n">
        <v>2.5</v>
      </c>
      <c r="E114" s="5" t="s">
        <v>74</v>
      </c>
      <c r="F114" s="5" t="s">
        <v>75</v>
      </c>
      <c r="G114" s="9" t="n">
        <v>470</v>
      </c>
      <c r="H114" s="12" t="n">
        <v>19</v>
      </c>
      <c r="I114" s="5" t="s">
        <v>77</v>
      </c>
      <c r="J114" s="5" t="s">
        <v>237</v>
      </c>
      <c r="K114" s="6" t="n">
        <f aca="false">IF(G114="","",G114*(1+Allgemein!$B$19))</f>
        <v>559.3</v>
      </c>
    </row>
    <row r="115" customFormat="false" ht="15" hidden="false" customHeight="false" outlineLevel="0" collapsed="false">
      <c r="A115" s="5" t="s">
        <v>24</v>
      </c>
      <c r="B115" s="5" t="s">
        <v>149</v>
      </c>
      <c r="C115" s="5" t="s">
        <v>238</v>
      </c>
      <c r="D115" s="12" t="n">
        <v>3.5</v>
      </c>
      <c r="E115" s="5" t="s">
        <v>74</v>
      </c>
      <c r="F115" s="5" t="s">
        <v>75</v>
      </c>
      <c r="G115" s="9" t="n">
        <v>520</v>
      </c>
      <c r="H115" s="12" t="n">
        <v>20</v>
      </c>
      <c r="I115" s="5" t="s">
        <v>77</v>
      </c>
      <c r="J115" s="5" t="s">
        <v>237</v>
      </c>
      <c r="K115" s="6" t="n">
        <f aca="false">IF(G115="","",G115*(1+Allgemein!$B$19))</f>
        <v>618.8</v>
      </c>
    </row>
    <row r="116" customFormat="false" ht="15" hidden="false" customHeight="false" outlineLevel="0" collapsed="false">
      <c r="A116" s="5" t="s">
        <v>24</v>
      </c>
      <c r="B116" s="5" t="s">
        <v>149</v>
      </c>
      <c r="C116" s="5" t="s">
        <v>239</v>
      </c>
      <c r="D116" s="12" t="n">
        <v>5</v>
      </c>
      <c r="E116" s="5" t="s">
        <v>74</v>
      </c>
      <c r="F116" s="5" t="s">
        <v>75</v>
      </c>
      <c r="G116" s="9" t="n">
        <v>680</v>
      </c>
      <c r="H116" s="12" t="n">
        <v>27</v>
      </c>
      <c r="I116" s="5" t="s">
        <v>77</v>
      </c>
      <c r="J116" s="5" t="s">
        <v>237</v>
      </c>
      <c r="K116" s="6" t="n">
        <f aca="false">IF(G116="","",G116*(1+Allgemein!$B$19))</f>
        <v>809.2</v>
      </c>
    </row>
    <row r="117" customFormat="false" ht="15" hidden="false" customHeight="false" outlineLevel="0" collapsed="false">
      <c r="A117" s="5" t="s">
        <v>24</v>
      </c>
      <c r="B117" s="5" t="s">
        <v>149</v>
      </c>
      <c r="C117" s="5" t="s">
        <v>240</v>
      </c>
      <c r="D117" s="12" t="n">
        <v>2</v>
      </c>
      <c r="E117" s="5" t="s">
        <v>89</v>
      </c>
      <c r="F117" s="5" t="s">
        <v>75</v>
      </c>
      <c r="G117" s="9" t="n">
        <v>560</v>
      </c>
      <c r="H117" s="12" t="n">
        <v>19</v>
      </c>
      <c r="I117" s="5" t="s">
        <v>77</v>
      </c>
      <c r="J117" s="5" t="s">
        <v>241</v>
      </c>
      <c r="K117" s="6" t="n">
        <f aca="false">IF(G117="","",G117*(1+Allgemein!$B$19))</f>
        <v>666.4</v>
      </c>
    </row>
    <row r="118" customFormat="false" ht="15" hidden="false" customHeight="false" outlineLevel="0" collapsed="false">
      <c r="A118" s="5" t="s">
        <v>24</v>
      </c>
      <c r="B118" s="5" t="s">
        <v>149</v>
      </c>
      <c r="C118" s="5" t="s">
        <v>242</v>
      </c>
      <c r="D118" s="12" t="n">
        <v>2.5</v>
      </c>
      <c r="E118" s="5" t="s">
        <v>89</v>
      </c>
      <c r="F118" s="5" t="s">
        <v>75</v>
      </c>
      <c r="G118" s="9" t="n">
        <v>600</v>
      </c>
      <c r="H118" s="12" t="n">
        <v>19</v>
      </c>
      <c r="I118" s="5" t="s">
        <v>77</v>
      </c>
      <c r="J118" s="5" t="s">
        <v>241</v>
      </c>
      <c r="K118" s="6" t="n">
        <f aca="false">IF(G118="","",G118*(1+Allgemein!$B$19))</f>
        <v>714</v>
      </c>
    </row>
    <row r="119" customFormat="false" ht="15" hidden="false" customHeight="false" outlineLevel="0" collapsed="false">
      <c r="A119" s="5" t="s">
        <v>24</v>
      </c>
      <c r="B119" s="5" t="s">
        <v>149</v>
      </c>
      <c r="C119" s="5" t="s">
        <v>243</v>
      </c>
      <c r="D119" s="12" t="n">
        <v>3.5</v>
      </c>
      <c r="E119" s="5" t="s">
        <v>89</v>
      </c>
      <c r="F119" s="5" t="s">
        <v>75</v>
      </c>
      <c r="G119" s="9" t="n">
        <v>680</v>
      </c>
      <c r="H119" s="12" t="n">
        <v>19</v>
      </c>
      <c r="I119" s="5" t="s">
        <v>77</v>
      </c>
      <c r="J119" s="5" t="s">
        <v>241</v>
      </c>
      <c r="K119" s="6" t="n">
        <f aca="false">IF(G119="","",G119*(1+Allgemein!$B$19))</f>
        <v>809.2</v>
      </c>
    </row>
    <row r="120" customFormat="false" ht="15" hidden="false" customHeight="false" outlineLevel="0" collapsed="false">
      <c r="A120" s="5" t="s">
        <v>24</v>
      </c>
      <c r="B120" s="5" t="s">
        <v>149</v>
      </c>
      <c r="C120" s="5" t="s">
        <v>244</v>
      </c>
      <c r="D120" s="12" t="n">
        <v>4.2</v>
      </c>
      <c r="E120" s="5" t="s">
        <v>89</v>
      </c>
      <c r="F120" s="5" t="s">
        <v>75</v>
      </c>
      <c r="G120" s="9" t="n">
        <v>760</v>
      </c>
      <c r="H120" s="12" t="n">
        <v>21</v>
      </c>
      <c r="I120" s="5" t="s">
        <v>77</v>
      </c>
      <c r="J120" s="5" t="s">
        <v>241</v>
      </c>
      <c r="K120" s="6" t="n">
        <f aca="false">IF(G120="","",G120*(1+Allgemein!$B$19))</f>
        <v>904.4</v>
      </c>
    </row>
    <row r="121" customFormat="false" ht="15" hidden="false" customHeight="false" outlineLevel="0" collapsed="false">
      <c r="A121" s="5" t="s">
        <v>24</v>
      </c>
      <c r="B121" s="5" t="s">
        <v>149</v>
      </c>
      <c r="C121" s="5" t="s">
        <v>245</v>
      </c>
      <c r="D121" s="12" t="n">
        <v>5</v>
      </c>
      <c r="E121" s="5" t="s">
        <v>89</v>
      </c>
      <c r="F121" s="5" t="s">
        <v>75</v>
      </c>
      <c r="G121" s="9" t="n">
        <v>860</v>
      </c>
      <c r="H121" s="12" t="n">
        <v>27</v>
      </c>
      <c r="I121" s="5" t="s">
        <v>77</v>
      </c>
      <c r="J121" s="5" t="s">
        <v>241</v>
      </c>
      <c r="K121" s="6" t="n">
        <f aca="false">IF(G121="","",G121*(1+Allgemein!$B$19))</f>
        <v>1023.4</v>
      </c>
    </row>
    <row r="122" customFormat="false" ht="15" hidden="false" customHeight="false" outlineLevel="0" collapsed="false">
      <c r="A122" s="5"/>
      <c r="B122" s="5"/>
      <c r="C122" s="5"/>
      <c r="D122" s="12"/>
      <c r="E122" s="5"/>
      <c r="F122" s="5"/>
      <c r="G122" s="9"/>
      <c r="H122" s="12"/>
      <c r="I122" s="5"/>
      <c r="J122" s="5"/>
      <c r="K122" s="6" t="str">
        <f aca="false">IF(G122="","",G122*(1+Allgemein!$B$19))</f>
        <v/>
      </c>
    </row>
    <row r="123" customFormat="false" ht="15" hidden="false" customHeight="false" outlineLevel="0" collapsed="false">
      <c r="A123" s="5"/>
      <c r="B123" s="5"/>
      <c r="C123" s="5"/>
      <c r="D123" s="12"/>
      <c r="E123" s="5"/>
      <c r="F123" s="5"/>
      <c r="G123" s="9"/>
      <c r="H123" s="12"/>
      <c r="I123" s="5"/>
      <c r="J123" s="5"/>
      <c r="K123" s="6" t="str">
        <f aca="false">IF(G123="","",G123*(1+Allgemein!$B$19))</f>
        <v/>
      </c>
    </row>
    <row r="124" customFormat="false" ht="15" hidden="false" customHeight="false" outlineLevel="0" collapsed="false">
      <c r="A124" s="5"/>
      <c r="B124" s="5"/>
      <c r="C124" s="5"/>
      <c r="D124" s="12"/>
      <c r="E124" s="5"/>
      <c r="F124" s="5"/>
      <c r="G124" s="9"/>
      <c r="H124" s="12"/>
      <c r="I124" s="5"/>
      <c r="J124" s="5"/>
      <c r="K124" s="6" t="str">
        <f aca="false">IF(G124="","",G124*(1+Allgemein!$B$19))</f>
        <v/>
      </c>
    </row>
    <row r="125" customFormat="false" ht="15" hidden="false" customHeight="false" outlineLevel="0" collapsed="false">
      <c r="A125" s="5"/>
      <c r="B125" s="5"/>
      <c r="C125" s="5"/>
      <c r="D125" s="12"/>
      <c r="E125" s="5"/>
      <c r="F125" s="5"/>
      <c r="G125" s="9"/>
      <c r="H125" s="12"/>
      <c r="I125" s="5"/>
      <c r="J125" s="5"/>
      <c r="K125" s="6" t="str">
        <f aca="false">IF(G125="","",G125*(1+Allgemein!$B$19))</f>
        <v/>
      </c>
    </row>
    <row r="126" customFormat="false" ht="15" hidden="false" customHeight="false" outlineLevel="0" collapsed="false">
      <c r="A126" s="5"/>
      <c r="B126" s="5"/>
      <c r="C126" s="5"/>
      <c r="D126" s="12"/>
      <c r="E126" s="5"/>
      <c r="F126" s="5"/>
      <c r="G126" s="9"/>
      <c r="H126" s="12"/>
      <c r="I126" s="5"/>
      <c r="J126" s="5"/>
      <c r="K126" s="6" t="str">
        <f aca="false">IF(G126="","",G126*(1+Allgemein!$B$19))</f>
        <v/>
      </c>
    </row>
    <row r="127" customFormat="false" ht="15" hidden="false" customHeight="false" outlineLevel="0" collapsed="false">
      <c r="A127" s="2" t="s">
        <v>165</v>
      </c>
    </row>
    <row r="129" customFormat="false" ht="15" hidden="false" customHeight="false" outlineLevel="0" collapsed="false">
      <c r="A129" s="3" t="s">
        <v>246</v>
      </c>
    </row>
    <row r="130" customFormat="false" ht="35.05" hidden="false" customHeight="false" outlineLevel="0" collapsed="false">
      <c r="A130" s="7" t="s">
        <v>56</v>
      </c>
      <c r="B130" s="7" t="s">
        <v>57</v>
      </c>
      <c r="C130" s="7" t="s">
        <v>58</v>
      </c>
      <c r="D130" s="7" t="s">
        <v>247</v>
      </c>
      <c r="E130" s="7" t="s">
        <v>59</v>
      </c>
      <c r="F130" s="7" t="s">
        <v>62</v>
      </c>
      <c r="G130" s="7" t="s">
        <v>63</v>
      </c>
      <c r="H130" s="7" t="s">
        <v>64</v>
      </c>
      <c r="I130" s="7" t="s">
        <v>65</v>
      </c>
      <c r="J130" s="7" t="s">
        <v>66</v>
      </c>
      <c r="K130" s="7" t="s">
        <v>68</v>
      </c>
      <c r="L130" s="7" t="s">
        <v>69</v>
      </c>
      <c r="M130" s="7" t="s">
        <v>70</v>
      </c>
      <c r="N130" s="7" t="s">
        <v>71</v>
      </c>
    </row>
    <row r="131" customFormat="false" ht="15" hidden="false" customHeight="false" outlineLevel="0" collapsed="false">
      <c r="A131" s="5" t="s">
        <v>24</v>
      </c>
      <c r="B131" s="5" t="s">
        <v>72</v>
      </c>
      <c r="C131" s="5" t="s">
        <v>248</v>
      </c>
      <c r="D131" s="12" t="n">
        <v>2</v>
      </c>
      <c r="E131" s="12" t="n">
        <v>3.3</v>
      </c>
      <c r="F131" s="9" t="n">
        <v>1390</v>
      </c>
      <c r="G131" s="5" t="s">
        <v>90</v>
      </c>
      <c r="H131" s="5" t="s">
        <v>76</v>
      </c>
      <c r="I131" s="12"/>
      <c r="J131" s="12"/>
      <c r="K131" s="5" t="s">
        <v>77</v>
      </c>
      <c r="L131" s="5"/>
      <c r="M131" s="5" t="s">
        <v>249</v>
      </c>
      <c r="N131" s="6" t="n">
        <f aca="false">IF(F131="","",F131*(1+Allgemein!$B$19))</f>
        <v>1654.1</v>
      </c>
    </row>
    <row r="132" customFormat="false" ht="15" hidden="false" customHeight="false" outlineLevel="0" collapsed="false">
      <c r="A132" s="5" t="s">
        <v>24</v>
      </c>
      <c r="B132" s="5" t="s">
        <v>72</v>
      </c>
      <c r="C132" s="5" t="s">
        <v>250</v>
      </c>
      <c r="D132" s="12" t="n">
        <v>2</v>
      </c>
      <c r="E132" s="12" t="n">
        <v>4</v>
      </c>
      <c r="F132" s="9" t="n">
        <v>1590</v>
      </c>
      <c r="G132" s="5" t="s">
        <v>90</v>
      </c>
      <c r="H132" s="5" t="s">
        <v>76</v>
      </c>
      <c r="I132" s="12" t="n">
        <v>8.7</v>
      </c>
      <c r="J132" s="12" t="n">
        <v>4.8</v>
      </c>
      <c r="K132" s="5" t="s">
        <v>77</v>
      </c>
      <c r="L132" s="5"/>
      <c r="M132" s="5" t="s">
        <v>251</v>
      </c>
      <c r="N132" s="6" t="n">
        <f aca="false">IF(F132="","",F132*(1+Allgemein!$B$19))</f>
        <v>1892.1</v>
      </c>
    </row>
    <row r="133" customFormat="false" ht="15" hidden="false" customHeight="false" outlineLevel="0" collapsed="false">
      <c r="A133" s="5" t="s">
        <v>24</v>
      </c>
      <c r="B133" s="5" t="s">
        <v>72</v>
      </c>
      <c r="C133" s="5" t="s">
        <v>252</v>
      </c>
      <c r="D133" s="12" t="n">
        <v>2</v>
      </c>
      <c r="E133" s="12" t="n">
        <v>5.2</v>
      </c>
      <c r="F133" s="9" t="n">
        <v>1790</v>
      </c>
      <c r="G133" s="5" t="s">
        <v>90</v>
      </c>
      <c r="H133" s="5" t="s">
        <v>76</v>
      </c>
      <c r="I133" s="12" t="n">
        <v>8.7</v>
      </c>
      <c r="J133" s="12" t="n">
        <v>4.8</v>
      </c>
      <c r="K133" s="5" t="s">
        <v>77</v>
      </c>
      <c r="L133" s="5"/>
      <c r="M133" s="5" t="s">
        <v>253</v>
      </c>
      <c r="N133" s="6" t="n">
        <f aca="false">IF(F133="","",F133*(1+Allgemein!$B$19))</f>
        <v>2130.1</v>
      </c>
    </row>
    <row r="134" customFormat="false" ht="15" hidden="false" customHeight="false" outlineLevel="0" collapsed="false">
      <c r="A134" s="5" t="s">
        <v>24</v>
      </c>
      <c r="B134" s="5" t="s">
        <v>72</v>
      </c>
      <c r="C134" s="5" t="s">
        <v>254</v>
      </c>
      <c r="D134" s="12" t="n">
        <v>3</v>
      </c>
      <c r="E134" s="12" t="n">
        <v>5.2</v>
      </c>
      <c r="F134" s="9" t="n">
        <v>1990</v>
      </c>
      <c r="G134" s="5" t="s">
        <v>90</v>
      </c>
      <c r="H134" s="5" t="s">
        <v>76</v>
      </c>
      <c r="I134" s="12" t="n">
        <v>8.6</v>
      </c>
      <c r="J134" s="12" t="n">
        <v>4.8</v>
      </c>
      <c r="K134" s="5" t="s">
        <v>77</v>
      </c>
      <c r="L134" s="5"/>
      <c r="M134" s="5" t="s">
        <v>255</v>
      </c>
      <c r="N134" s="6" t="n">
        <f aca="false">IF(F134="","",F134*(1+Allgemein!$B$19))</f>
        <v>2368.1</v>
      </c>
    </row>
    <row r="135" customFormat="false" ht="15" hidden="false" customHeight="false" outlineLevel="0" collapsed="false">
      <c r="A135" s="5" t="s">
        <v>24</v>
      </c>
      <c r="B135" s="5" t="s">
        <v>72</v>
      </c>
      <c r="C135" s="5" t="s">
        <v>256</v>
      </c>
      <c r="D135" s="12" t="n">
        <v>3</v>
      </c>
      <c r="E135" s="12" t="n">
        <v>7</v>
      </c>
      <c r="F135" s="9" t="n">
        <v>2390</v>
      </c>
      <c r="G135" s="5" t="s">
        <v>90</v>
      </c>
      <c r="H135" s="5" t="s">
        <v>76</v>
      </c>
      <c r="I135" s="12" t="n">
        <v>8.5</v>
      </c>
      <c r="J135" s="12" t="n">
        <v>4.6</v>
      </c>
      <c r="K135" s="5" t="s">
        <v>77</v>
      </c>
      <c r="L135" s="5"/>
      <c r="M135" s="5" t="s">
        <v>257</v>
      </c>
      <c r="N135" s="6" t="n">
        <f aca="false">IF(F135="","",F135*(1+Allgemein!$B$19))</f>
        <v>2844.1</v>
      </c>
    </row>
    <row r="136" customFormat="false" ht="15" hidden="false" customHeight="false" outlineLevel="0" collapsed="false">
      <c r="A136" s="5" t="s">
        <v>24</v>
      </c>
      <c r="B136" s="5" t="s">
        <v>72</v>
      </c>
      <c r="C136" s="5" t="s">
        <v>258</v>
      </c>
      <c r="D136" s="12" t="n">
        <v>4</v>
      </c>
      <c r="E136" s="12" t="n">
        <v>8</v>
      </c>
      <c r="F136" s="9" t="n">
        <v>2690</v>
      </c>
      <c r="G136" s="5" t="s">
        <v>76</v>
      </c>
      <c r="H136" s="5" t="s">
        <v>76</v>
      </c>
      <c r="I136" s="12" t="n">
        <v>8.3</v>
      </c>
      <c r="J136" s="12" t="n">
        <v>4.5</v>
      </c>
      <c r="K136" s="5" t="s">
        <v>77</v>
      </c>
      <c r="L136" s="5"/>
      <c r="M136" s="5" t="s">
        <v>259</v>
      </c>
      <c r="N136" s="6" t="n">
        <f aca="false">IF(F136="","",F136*(1+Allgemein!$B$19))</f>
        <v>3201.1</v>
      </c>
    </row>
    <row r="137" customFormat="false" ht="15" hidden="false" customHeight="false" outlineLevel="0" collapsed="false">
      <c r="A137" s="5" t="s">
        <v>24</v>
      </c>
      <c r="B137" s="5" t="s">
        <v>72</v>
      </c>
      <c r="C137" s="5" t="s">
        <v>260</v>
      </c>
      <c r="D137" s="12" t="n">
        <v>5</v>
      </c>
      <c r="E137" s="12" t="n">
        <v>10</v>
      </c>
      <c r="F137" s="9" t="n">
        <v>3190</v>
      </c>
      <c r="G137" s="5" t="s">
        <v>76</v>
      </c>
      <c r="H137" s="5" t="s">
        <v>76</v>
      </c>
      <c r="I137" s="12" t="n">
        <v>7.2</v>
      </c>
      <c r="J137" s="12" t="n">
        <v>4.3</v>
      </c>
      <c r="K137" s="5" t="s">
        <v>77</v>
      </c>
      <c r="L137" s="5"/>
      <c r="M137" s="5" t="s">
        <v>261</v>
      </c>
      <c r="N137" s="6" t="n">
        <f aca="false">IF(F137="","",F137*(1+Allgemein!$B$19))</f>
        <v>3796.1</v>
      </c>
    </row>
    <row r="138" customFormat="false" ht="15" hidden="false" customHeight="false" outlineLevel="0" collapsed="false">
      <c r="A138" s="5" t="s">
        <v>24</v>
      </c>
      <c r="B138" s="5" t="s">
        <v>149</v>
      </c>
      <c r="C138" s="5" t="s">
        <v>262</v>
      </c>
      <c r="D138" s="12" t="n">
        <v>2</v>
      </c>
      <c r="E138" s="12" t="n">
        <v>4</v>
      </c>
      <c r="F138" s="9" t="n">
        <v>1690</v>
      </c>
      <c r="G138" s="5" t="s">
        <v>263</v>
      </c>
      <c r="H138" s="5" t="s">
        <v>263</v>
      </c>
      <c r="I138" s="12"/>
      <c r="J138" s="12"/>
      <c r="K138" s="5" t="s">
        <v>77</v>
      </c>
      <c r="L138" s="5"/>
      <c r="M138" s="5" t="s">
        <v>264</v>
      </c>
      <c r="N138" s="6" t="n">
        <f aca="false">IF(F138="","",F138*(1+Allgemein!$B$19))</f>
        <v>2011.1</v>
      </c>
    </row>
    <row r="139" customFormat="false" ht="15" hidden="false" customHeight="false" outlineLevel="0" collapsed="false">
      <c r="A139" s="5" t="s">
        <v>24</v>
      </c>
      <c r="B139" s="5" t="s">
        <v>149</v>
      </c>
      <c r="C139" s="5" t="s">
        <v>265</v>
      </c>
      <c r="D139" s="12" t="n">
        <v>2</v>
      </c>
      <c r="E139" s="12" t="n">
        <v>5</v>
      </c>
      <c r="F139" s="9" t="n">
        <v>1790</v>
      </c>
      <c r="G139" s="5" t="s">
        <v>263</v>
      </c>
      <c r="H139" s="5" t="s">
        <v>263</v>
      </c>
      <c r="I139" s="12"/>
      <c r="J139" s="12"/>
      <c r="K139" s="5" t="s">
        <v>77</v>
      </c>
      <c r="L139" s="5"/>
      <c r="M139" s="5" t="s">
        <v>264</v>
      </c>
      <c r="N139" s="6" t="n">
        <f aca="false">IF(F139="","",F139*(1+Allgemein!$B$19))</f>
        <v>2130.1</v>
      </c>
    </row>
    <row r="140" customFormat="false" ht="15" hidden="false" customHeight="false" outlineLevel="0" collapsed="false">
      <c r="A140" s="5" t="s">
        <v>24</v>
      </c>
      <c r="B140" s="5" t="s">
        <v>149</v>
      </c>
      <c r="C140" s="5" t="s">
        <v>266</v>
      </c>
      <c r="D140" s="12" t="n">
        <v>3</v>
      </c>
      <c r="E140" s="12" t="n">
        <v>5.2</v>
      </c>
      <c r="F140" s="9" t="n">
        <v>2190</v>
      </c>
      <c r="G140" s="5" t="s">
        <v>90</v>
      </c>
      <c r="H140" s="5" t="s">
        <v>90</v>
      </c>
      <c r="I140" s="12" t="n">
        <v>8.51</v>
      </c>
      <c r="J140" s="12" t="n">
        <v>5.1</v>
      </c>
      <c r="K140" s="5" t="s">
        <v>77</v>
      </c>
      <c r="L140" s="5"/>
      <c r="M140" s="5" t="s">
        <v>267</v>
      </c>
      <c r="N140" s="6" t="n">
        <f aca="false">IF(F140="","",F140*(1+Allgemein!$B$19))</f>
        <v>2606.1</v>
      </c>
    </row>
    <row r="141" customFormat="false" ht="15" hidden="false" customHeight="false" outlineLevel="0" collapsed="false">
      <c r="A141" s="5" t="s">
        <v>24</v>
      </c>
      <c r="B141" s="5" t="s">
        <v>149</v>
      </c>
      <c r="C141" s="5" t="s">
        <v>268</v>
      </c>
      <c r="D141" s="12" t="n">
        <v>3</v>
      </c>
      <c r="E141" s="12" t="n">
        <v>6.8</v>
      </c>
      <c r="F141" s="9" t="n">
        <v>2490</v>
      </c>
      <c r="G141" s="5" t="s">
        <v>263</v>
      </c>
      <c r="H141" s="5" t="s">
        <v>263</v>
      </c>
      <c r="I141" s="12"/>
      <c r="J141" s="12"/>
      <c r="K141" s="5" t="s">
        <v>77</v>
      </c>
      <c r="L141" s="5"/>
      <c r="M141" s="5" t="s">
        <v>269</v>
      </c>
      <c r="N141" s="6" t="n">
        <f aca="false">IF(F141="","",F141*(1+Allgemein!$B$19))</f>
        <v>2963.1</v>
      </c>
    </row>
    <row r="142" customFormat="false" ht="15" hidden="false" customHeight="false" outlineLevel="0" collapsed="false">
      <c r="A142" s="5" t="s">
        <v>24</v>
      </c>
      <c r="B142" s="5" t="s">
        <v>149</v>
      </c>
      <c r="C142" s="5" t="s">
        <v>270</v>
      </c>
      <c r="D142" s="12" t="n">
        <v>4</v>
      </c>
      <c r="E142" s="12" t="n">
        <v>8</v>
      </c>
      <c r="F142" s="9" t="n">
        <v>2890</v>
      </c>
      <c r="G142" s="5" t="s">
        <v>263</v>
      </c>
      <c r="H142" s="5" t="s">
        <v>263</v>
      </c>
      <c r="I142" s="12"/>
      <c r="J142" s="12"/>
      <c r="K142" s="5" t="s">
        <v>77</v>
      </c>
      <c r="L142" s="5"/>
      <c r="M142" s="5" t="s">
        <v>271</v>
      </c>
      <c r="N142" s="6" t="n">
        <f aca="false">IF(F142="","",F142*(1+Allgemein!$B$19))</f>
        <v>3439.1</v>
      </c>
    </row>
    <row r="143" customFormat="false" ht="15" hidden="false" customHeight="false" outlineLevel="0" collapsed="false">
      <c r="A143" s="5" t="s">
        <v>24</v>
      </c>
      <c r="B143" s="5" t="s">
        <v>149</v>
      </c>
      <c r="C143" s="5" t="s">
        <v>272</v>
      </c>
      <c r="D143" s="12" t="n">
        <v>5</v>
      </c>
      <c r="E143" s="12" t="n">
        <v>9</v>
      </c>
      <c r="F143" s="9" t="n">
        <v>3290</v>
      </c>
      <c r="G143" s="5" t="s">
        <v>263</v>
      </c>
      <c r="H143" s="5" t="s">
        <v>263</v>
      </c>
      <c r="I143" s="12"/>
      <c r="J143" s="12"/>
      <c r="K143" s="5" t="s">
        <v>77</v>
      </c>
      <c r="L143" s="5"/>
      <c r="M143" s="5" t="s">
        <v>273</v>
      </c>
      <c r="N143" s="6" t="n">
        <f aca="false">IF(F143="","",F143*(1+Allgemein!$B$19))</f>
        <v>3915.1</v>
      </c>
    </row>
    <row r="144" customFormat="false" ht="15" hidden="false" customHeight="false" outlineLevel="0" collapsed="false">
      <c r="A144" s="5"/>
      <c r="B144" s="5"/>
      <c r="C144" s="5"/>
      <c r="D144" s="12"/>
      <c r="E144" s="12"/>
      <c r="F144" s="9"/>
      <c r="G144" s="5"/>
      <c r="H144" s="5"/>
      <c r="I144" s="12"/>
      <c r="J144" s="12"/>
      <c r="K144" s="5"/>
      <c r="L144" s="5"/>
      <c r="M144" s="5"/>
      <c r="N144" s="6" t="str">
        <f aca="false">IF(F144="","",F144*(1+Allgemein!$B$19))</f>
        <v/>
      </c>
    </row>
    <row r="145" customFormat="false" ht="15" hidden="false" customHeight="false" outlineLevel="0" collapsed="false">
      <c r="A145" s="5"/>
      <c r="B145" s="5"/>
      <c r="C145" s="5"/>
      <c r="D145" s="12"/>
      <c r="E145" s="12"/>
      <c r="F145" s="9"/>
      <c r="G145" s="5"/>
      <c r="H145" s="5"/>
      <c r="I145" s="12"/>
      <c r="J145" s="12"/>
      <c r="K145" s="5"/>
      <c r="L145" s="5"/>
      <c r="M145" s="5"/>
      <c r="N145" s="6" t="str">
        <f aca="false">IF(F145="","",F145*(1+Allgemein!$B$19))</f>
        <v/>
      </c>
    </row>
    <row r="146" customFormat="false" ht="15" hidden="false" customHeight="false" outlineLevel="0" collapsed="false">
      <c r="A146" s="5"/>
      <c r="B146" s="5"/>
      <c r="C146" s="5"/>
      <c r="D146" s="12"/>
      <c r="E146" s="12"/>
      <c r="F146" s="9"/>
      <c r="G146" s="5"/>
      <c r="H146" s="5"/>
      <c r="I146" s="12"/>
      <c r="J146" s="12"/>
      <c r="K146" s="5"/>
      <c r="L146" s="5"/>
      <c r="M146" s="5"/>
      <c r="N146" s="6" t="str">
        <f aca="false">IF(F146="","",F146*(1+Allgemein!$B$19))</f>
        <v/>
      </c>
    </row>
    <row r="147" customFormat="false" ht="15" hidden="false" customHeight="false" outlineLevel="0" collapsed="false">
      <c r="A147" s="5"/>
      <c r="B147" s="5"/>
      <c r="C147" s="5"/>
      <c r="D147" s="12"/>
      <c r="E147" s="12"/>
      <c r="F147" s="9"/>
      <c r="G147" s="5"/>
      <c r="H147" s="5"/>
      <c r="I147" s="12"/>
      <c r="J147" s="12"/>
      <c r="K147" s="5"/>
      <c r="L147" s="5"/>
      <c r="M147" s="5"/>
      <c r="N147" s="6" t="str">
        <f aca="false">IF(F147="","",F147*(1+Allgemein!$B$19))</f>
        <v/>
      </c>
    </row>
    <row r="148" customFormat="false" ht="15" hidden="false" customHeight="false" outlineLevel="0" collapsed="false">
      <c r="A148" s="5"/>
      <c r="B148" s="5"/>
      <c r="C148" s="5"/>
      <c r="D148" s="12"/>
      <c r="E148" s="12"/>
      <c r="F148" s="9"/>
      <c r="G148" s="5"/>
      <c r="H148" s="5"/>
      <c r="I148" s="12"/>
      <c r="J148" s="12"/>
      <c r="K148" s="5"/>
      <c r="L148" s="5"/>
      <c r="M148" s="5"/>
      <c r="N148" s="6" t="str">
        <f aca="false">IF(F148="","",F148*(1+Allgemein!$B$19))</f>
        <v/>
      </c>
    </row>
    <row r="149" customFormat="false" ht="15" hidden="false" customHeight="false" outlineLevel="0" collapsed="false">
      <c r="A149" s="2" t="s">
        <v>165</v>
      </c>
    </row>
    <row r="151" customFormat="false" ht="15" hidden="false" customHeight="false" outlineLevel="0" collapsed="false">
      <c r="A151" s="3" t="s">
        <v>274</v>
      </c>
    </row>
    <row r="152" customFormat="false" ht="15" hidden="false" customHeight="false" outlineLevel="0" collapsed="false">
      <c r="A152" s="7" t="s">
        <v>32</v>
      </c>
      <c r="B152" s="7" t="s">
        <v>33</v>
      </c>
      <c r="C152" s="7" t="s">
        <v>34</v>
      </c>
      <c r="D152" s="7" t="s">
        <v>35</v>
      </c>
      <c r="E152" s="7" t="s">
        <v>36</v>
      </c>
    </row>
    <row r="153" customFormat="false" ht="15" hidden="false" customHeight="false" outlineLevel="0" collapsed="false">
      <c r="A153" s="8" t="s">
        <v>275</v>
      </c>
      <c r="B153" s="12" t="n">
        <v>6</v>
      </c>
      <c r="C153" s="8" t="s">
        <v>276</v>
      </c>
      <c r="D153" s="6" t="n">
        <f aca="false">B153*Allgemein!$B$17</f>
        <v>408</v>
      </c>
      <c r="E153" s="6" t="n">
        <f aca="false">D153*(1+Allgemein!$B$19)</f>
        <v>485.52</v>
      </c>
    </row>
    <row r="154" customFormat="false" ht="15" hidden="false" customHeight="false" outlineLevel="0" collapsed="false">
      <c r="A154" s="8" t="s">
        <v>277</v>
      </c>
      <c r="B154" s="12" t="n">
        <v>7</v>
      </c>
      <c r="C154" s="8" t="s">
        <v>276</v>
      </c>
      <c r="D154" s="6" t="n">
        <f aca="false">B154*Allgemein!$B$17</f>
        <v>476</v>
      </c>
      <c r="E154" s="6" t="n">
        <f aca="false">D154*(1+Allgemein!$B$19)</f>
        <v>566.44</v>
      </c>
    </row>
    <row r="155" customFormat="false" ht="15" hidden="false" customHeight="false" outlineLevel="0" collapsed="false">
      <c r="A155" s="8" t="s">
        <v>278</v>
      </c>
      <c r="B155" s="12" t="n">
        <v>4</v>
      </c>
      <c r="C155" s="8" t="s">
        <v>276</v>
      </c>
      <c r="D155" s="6" t="n">
        <f aca="false">B155*Allgemein!$B$17</f>
        <v>272</v>
      </c>
      <c r="E155" s="6" t="n">
        <f aca="false">D155*(1+Allgemein!$B$19)</f>
        <v>323.68</v>
      </c>
    </row>
    <row r="156" customFormat="false" ht="15" hidden="false" customHeight="false" outlineLevel="0" collapsed="false">
      <c r="A156" s="8" t="s">
        <v>279</v>
      </c>
      <c r="B156" s="12" t="n">
        <v>0.25</v>
      </c>
      <c r="C156" s="8" t="s">
        <v>276</v>
      </c>
      <c r="D156" s="6" t="n">
        <f aca="false">B156*Allgemein!$B$17</f>
        <v>17</v>
      </c>
      <c r="E156" s="6" t="n">
        <f aca="false">D156*(1+Allgemein!$B$19)</f>
        <v>20.23</v>
      </c>
    </row>
    <row r="157" customFormat="false" ht="15" hidden="false" customHeight="false" outlineLevel="0" collapsed="false">
      <c r="A157" s="8" t="s">
        <v>280</v>
      </c>
      <c r="B157" s="12" t="n">
        <v>0.75</v>
      </c>
      <c r="C157" s="8" t="s">
        <v>276</v>
      </c>
      <c r="D157" s="6" t="n">
        <f aca="false">B157*Allgemein!$B$17</f>
        <v>51</v>
      </c>
      <c r="E157" s="6" t="n">
        <f aca="false">D157*(1+Allgemein!$B$19)</f>
        <v>60.69</v>
      </c>
    </row>
    <row r="158" customFormat="false" ht="15" hidden="false" customHeight="false" outlineLevel="0" collapsed="false">
      <c r="A158" s="8" t="s">
        <v>281</v>
      </c>
      <c r="B158" s="12" t="n">
        <v>0.5</v>
      </c>
      <c r="C158" s="8" t="s">
        <v>276</v>
      </c>
      <c r="D158" s="6" t="n">
        <f aca="false">B158*Allgemein!$B$17</f>
        <v>34</v>
      </c>
      <c r="E158" s="6" t="n">
        <f aca="false">D158*(1+Allgemein!$B$19)</f>
        <v>40.46</v>
      </c>
    </row>
    <row r="159" customFormat="false" ht="15" hidden="false" customHeight="false" outlineLevel="0" collapsed="false">
      <c r="A159" s="8" t="s">
        <v>282</v>
      </c>
      <c r="B159" s="12" t="n">
        <v>2</v>
      </c>
      <c r="C159" s="8" t="s">
        <v>276</v>
      </c>
      <c r="D159" s="6" t="n">
        <f aca="false">B159*Allgemein!$B$17</f>
        <v>136</v>
      </c>
      <c r="E159" s="6" t="n">
        <f aca="false">D159*(1+Allgemein!$B$19)</f>
        <v>161.84</v>
      </c>
    </row>
    <row r="160" customFormat="false" ht="15" hidden="false" customHeight="false" outlineLevel="0" collapsed="false">
      <c r="A160" s="8" t="s">
        <v>283</v>
      </c>
      <c r="B160" s="12" t="n">
        <v>1</v>
      </c>
      <c r="C160" s="8" t="s">
        <v>276</v>
      </c>
      <c r="D160" s="6" t="n">
        <f aca="false">B160*Allgemein!$B$17</f>
        <v>68</v>
      </c>
      <c r="E160" s="6" t="n">
        <f aca="false">D160*(1+Allgemein!$B$19)</f>
        <v>80.92</v>
      </c>
    </row>
    <row r="162" customFormat="false" ht="15" hidden="false" customHeight="false" outlineLevel="0" collapsed="false">
      <c r="A162" s="3" t="s">
        <v>284</v>
      </c>
    </row>
    <row r="163" customFormat="false" ht="15" hidden="false" customHeight="false" outlineLevel="0" collapsed="false">
      <c r="A163" s="7" t="s">
        <v>32</v>
      </c>
      <c r="B163" s="7" t="s">
        <v>33</v>
      </c>
      <c r="C163" s="7" t="s">
        <v>34</v>
      </c>
      <c r="D163" s="7" t="s">
        <v>35</v>
      </c>
      <c r="E163" s="7" t="s">
        <v>36</v>
      </c>
    </row>
    <row r="164" customFormat="false" ht="15" hidden="false" customHeight="false" outlineLevel="0" collapsed="false">
      <c r="A164" s="8" t="s">
        <v>285</v>
      </c>
      <c r="B164" s="9" t="n">
        <v>190</v>
      </c>
      <c r="C164" s="8" t="s">
        <v>40</v>
      </c>
      <c r="E164" s="6" t="n">
        <f aca="false">B164*(1+Allgemein!$B$19)</f>
        <v>226.1</v>
      </c>
    </row>
    <row r="165" customFormat="false" ht="15" hidden="false" customHeight="false" outlineLevel="0" collapsed="false">
      <c r="A165" s="8" t="s">
        <v>286</v>
      </c>
      <c r="B165" s="9" t="n">
        <v>150</v>
      </c>
      <c r="C165" s="8" t="s">
        <v>40</v>
      </c>
      <c r="E165" s="6" t="n">
        <f aca="false">B165*(1+Allgemein!$B$19)</f>
        <v>178.5</v>
      </c>
    </row>
    <row r="166" customFormat="false" ht="15" hidden="false" customHeight="false" outlineLevel="0" collapsed="false">
      <c r="A166" s="8" t="s">
        <v>279</v>
      </c>
      <c r="B166" s="9" t="n">
        <v>26</v>
      </c>
      <c r="C166" s="8" t="s">
        <v>40</v>
      </c>
      <c r="E166" s="6" t="n">
        <f aca="false">B166*(1+Allgemein!$B$19)</f>
        <v>30.94</v>
      </c>
    </row>
    <row r="167" customFormat="false" ht="15" hidden="false" customHeight="false" outlineLevel="0" collapsed="false">
      <c r="A167" s="8" t="s">
        <v>287</v>
      </c>
      <c r="B167" s="9" t="n">
        <v>110</v>
      </c>
      <c r="C167" s="8" t="s">
        <v>40</v>
      </c>
      <c r="E167" s="6" t="n">
        <f aca="false">B167*(1+Allgemein!$B$19)</f>
        <v>130.9</v>
      </c>
    </row>
    <row r="168" customFormat="false" ht="15" hidden="false" customHeight="false" outlineLevel="0" collapsed="false">
      <c r="A168" s="8" t="s">
        <v>288</v>
      </c>
      <c r="B168" s="9" t="n">
        <v>360</v>
      </c>
      <c r="C168" s="8" t="s">
        <v>40</v>
      </c>
      <c r="E168" s="6" t="n">
        <f aca="false">B168*(1+Allgemein!$B$19)</f>
        <v>428.4</v>
      </c>
    </row>
    <row r="169" customFormat="false" ht="15" hidden="false" customHeight="false" outlineLevel="0" collapsed="false">
      <c r="A169" s="8" t="s">
        <v>280</v>
      </c>
      <c r="B169" s="9" t="n">
        <v>55</v>
      </c>
      <c r="C169" s="8" t="s">
        <v>40</v>
      </c>
      <c r="E169" s="6" t="n">
        <f aca="false">B169*(1+Allgemein!$B$19)</f>
        <v>65.45</v>
      </c>
    </row>
    <row r="170" customFormat="false" ht="15" hidden="false" customHeight="false" outlineLevel="0" collapsed="false">
      <c r="A170" s="8" t="s">
        <v>289</v>
      </c>
      <c r="B170" s="9" t="n">
        <v>135</v>
      </c>
      <c r="C170" s="8" t="s">
        <v>40</v>
      </c>
      <c r="E170" s="6" t="n">
        <f aca="false">B170*(1+Allgemein!$B$19)</f>
        <v>160.65</v>
      </c>
    </row>
    <row r="171" customFormat="false" ht="15" hidden="false" customHeight="false" outlineLevel="0" collapsed="false">
      <c r="A171" s="8" t="s">
        <v>290</v>
      </c>
      <c r="B171" s="9" t="n">
        <v>170</v>
      </c>
      <c r="C171" s="8" t="s">
        <v>40</v>
      </c>
      <c r="E171" s="6" t="n">
        <f aca="false">B171*(1+Allgemein!$B$19)</f>
        <v>202.3</v>
      </c>
    </row>
    <row r="173" customFormat="false" ht="15" hidden="false" customHeight="false" outlineLevel="0" collapsed="false">
      <c r="A173" s="3" t="s">
        <v>291</v>
      </c>
    </row>
    <row r="174" customFormat="false" ht="15" hidden="false" customHeight="false" outlineLevel="0" collapsed="false">
      <c r="A174" s="7" t="s">
        <v>32</v>
      </c>
      <c r="B174" s="7" t="s">
        <v>33</v>
      </c>
      <c r="C174" s="7" t="s">
        <v>34</v>
      </c>
      <c r="D174" s="7" t="s">
        <v>35</v>
      </c>
      <c r="E174" s="7" t="s">
        <v>36</v>
      </c>
    </row>
    <row r="175" customFormat="false" ht="15" hidden="false" customHeight="false" outlineLevel="0" collapsed="false">
      <c r="A175" s="8" t="s">
        <v>292</v>
      </c>
      <c r="B175" s="9" t="n">
        <v>149</v>
      </c>
      <c r="C175" s="8" t="s">
        <v>40</v>
      </c>
    </row>
    <row r="176" customFormat="false" ht="15" hidden="false" customHeight="false" outlineLevel="0" collapsed="false">
      <c r="A176" s="8" t="s">
        <v>293</v>
      </c>
      <c r="B176" s="12" t="n">
        <v>0.1</v>
      </c>
      <c r="C176" s="8" t="s">
        <v>294</v>
      </c>
    </row>
  </sheetData>
  <dataValidations count="12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57" type="list">
      <formula1>"Ja,Nein"</formula1>
      <formula2>0</formula2>
    </dataValidation>
    <dataValidation allowBlank="true" errorStyle="stop" operator="between" showDropDown="false" showErrorMessage="true" showInputMessage="false" sqref="E9:E57" type="list">
      <formula1>"Standard,Premium"</formula1>
      <formula2>0</formula2>
    </dataValidation>
    <dataValidation allowBlank="true" errorStyle="stop" operator="between" showDropDown="false" showErrorMessage="true" showInputMessage="false" sqref="F9:F57" type="list">
      <formula1>"Wandgerät,Truhe/Konsole,Kassette,Kanalgerät"</formula1>
      <formula2>0</formula2>
    </dataValidation>
    <dataValidation allowBlank="true" errorStyle="stop" operator="between" showDropDown="false" showErrorMessage="true" showInputMessage="false" sqref="H9:H57" type="list">
      <formula1>"–,A+++,A++,A+,A,B,C,D"</formula1>
      <formula2>0</formula2>
    </dataValidation>
    <dataValidation allowBlank="true" errorStyle="stop" operator="between" showDropDown="false" showErrorMessage="true" showInputMessage="false" sqref="I9:I57" type="list">
      <formula1>"–,A+++,A++,A+,A,B,C,D"</formula1>
      <formula2>0</formula2>
    </dataValidation>
    <dataValidation allowBlank="true" errorStyle="stop" operator="between" showDropDown="false" showErrorMessage="true" showInputMessage="false" sqref="A63:A126" type="list">
      <formula1>"Ja,Nein"</formula1>
      <formula2>0</formula2>
    </dataValidation>
    <dataValidation allowBlank="true" errorStyle="stop" operator="between" showDropDown="false" showErrorMessage="true" showInputMessage="false" sqref="E63:E126" type="list">
      <formula1>"Standard,Premium"</formula1>
      <formula2>0</formula2>
    </dataValidation>
    <dataValidation allowBlank="true" errorStyle="stop" operator="between" showDropDown="false" showErrorMessage="true" showInputMessage="false" sqref="F63:F126" type="list">
      <formula1>"Wandgerät,Truhe/Konsole,Kassette,Kanalgerät"</formula1>
      <formula2>0</formula2>
    </dataValidation>
    <dataValidation allowBlank="true" errorStyle="stop" operator="between" showDropDown="false" showErrorMessage="true" showInputMessage="false" sqref="A131:A148" type="list">
      <formula1>"Ja,Nein"</formula1>
      <formula2>0</formula2>
    </dataValidation>
    <dataValidation allowBlank="true" errorStyle="stop" operator="between" showDropDown="false" showErrorMessage="true" showInputMessage="false" sqref="G131:G148" type="list">
      <formula1>"–,A+++,A++,A+,A,B,C,D"</formula1>
      <formula2>0</formula2>
    </dataValidation>
    <dataValidation allowBlank="true" errorStyle="stop" operator="between" showDropDown="false" showErrorMessage="true" showInputMessage="false" sqref="H131:H148" type="list">
      <formula1>"–,A+++,A++,A+,A,B,C,D"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295</v>
      </c>
    </row>
    <row r="7" customFormat="false" ht="15" hidden="false" customHeight="false" outlineLevel="0" collapsed="false">
      <c r="A7" s="2" t="s">
        <v>296</v>
      </c>
    </row>
    <row r="8" customFormat="false" ht="23.8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59</v>
      </c>
      <c r="E8" s="7" t="s">
        <v>62</v>
      </c>
      <c r="F8" s="7" t="s">
        <v>297</v>
      </c>
      <c r="G8" s="7" t="s">
        <v>69</v>
      </c>
      <c r="H8" s="7" t="s">
        <v>70</v>
      </c>
      <c r="I8" s="7" t="s">
        <v>71</v>
      </c>
    </row>
    <row r="9" customFormat="false" ht="15" hidden="false" customHeight="false" outlineLevel="0" collapsed="false">
      <c r="A9" s="5" t="s">
        <v>24</v>
      </c>
      <c r="B9" s="5" t="s">
        <v>298</v>
      </c>
      <c r="C9" s="5" t="s">
        <v>299</v>
      </c>
      <c r="D9" s="12" t="n">
        <v>6</v>
      </c>
      <c r="E9" s="9" t="n">
        <v>8900</v>
      </c>
      <c r="F9" s="5" t="s">
        <v>90</v>
      </c>
      <c r="G9" s="5"/>
      <c r="H9" s="5"/>
      <c r="I9" s="6" t="n">
        <f aca="false">IF(E9="","",E9*(1+Allgemein!$B$19))</f>
        <v>10591</v>
      </c>
    </row>
    <row r="10" customFormat="false" ht="15" hidden="false" customHeight="false" outlineLevel="0" collapsed="false">
      <c r="A10" s="5" t="s">
        <v>24</v>
      </c>
      <c r="B10" s="5" t="s">
        <v>298</v>
      </c>
      <c r="C10" s="5" t="s">
        <v>300</v>
      </c>
      <c r="D10" s="12" t="n">
        <v>9</v>
      </c>
      <c r="E10" s="9" t="n">
        <v>10400</v>
      </c>
      <c r="F10" s="5" t="s">
        <v>90</v>
      </c>
      <c r="G10" s="5"/>
      <c r="H10" s="5"/>
      <c r="I10" s="6" t="n">
        <f aca="false">IF(E10="","",E10*(1+Allgemein!$B$19))</f>
        <v>12376</v>
      </c>
    </row>
    <row r="11" customFormat="false" ht="15" hidden="false" customHeight="false" outlineLevel="0" collapsed="false">
      <c r="A11" s="5" t="s">
        <v>24</v>
      </c>
      <c r="B11" s="5" t="s">
        <v>298</v>
      </c>
      <c r="C11" s="5" t="s">
        <v>301</v>
      </c>
      <c r="D11" s="12" t="n">
        <v>12</v>
      </c>
      <c r="E11" s="9" t="n">
        <v>11900</v>
      </c>
      <c r="F11" s="5" t="s">
        <v>90</v>
      </c>
      <c r="G11" s="5"/>
      <c r="H11" s="5"/>
      <c r="I11" s="6" t="n">
        <f aca="false">IF(E11="","",E11*(1+Allgemein!$B$19))</f>
        <v>14161</v>
      </c>
    </row>
    <row r="12" customFormat="false" ht="15" hidden="false" customHeight="false" outlineLevel="0" collapsed="false">
      <c r="A12" s="5" t="s">
        <v>24</v>
      </c>
      <c r="B12" s="5" t="s">
        <v>298</v>
      </c>
      <c r="C12" s="5" t="s">
        <v>302</v>
      </c>
      <c r="D12" s="12" t="n">
        <v>16</v>
      </c>
      <c r="E12" s="9" t="n">
        <v>13400</v>
      </c>
      <c r="F12" s="5" t="s">
        <v>90</v>
      </c>
      <c r="G12" s="5"/>
      <c r="H12" s="5"/>
      <c r="I12" s="6" t="n">
        <f aca="false">IF(E12="","",E12*(1+Allgemein!$B$19))</f>
        <v>15946</v>
      </c>
    </row>
    <row r="13" customFormat="false" ht="15" hidden="false" customHeight="false" outlineLevel="0" collapsed="false">
      <c r="A13" s="5" t="s">
        <v>24</v>
      </c>
      <c r="B13" s="5" t="s">
        <v>298</v>
      </c>
      <c r="C13" s="5" t="s">
        <v>303</v>
      </c>
      <c r="D13" s="12" t="n">
        <v>18</v>
      </c>
      <c r="E13" s="9" t="n">
        <v>14900</v>
      </c>
      <c r="F13" s="5" t="s">
        <v>90</v>
      </c>
      <c r="G13" s="5"/>
      <c r="H13" s="5"/>
      <c r="I13" s="6" t="n">
        <f aca="false">IF(E13="","",E13*(1+Allgemein!$B$19))</f>
        <v>17731</v>
      </c>
    </row>
    <row r="14" customFormat="false" ht="15" hidden="false" customHeight="false" outlineLevel="0" collapsed="false">
      <c r="A14" s="5"/>
      <c r="B14" s="5"/>
      <c r="C14" s="5"/>
      <c r="D14" s="12"/>
      <c r="E14" s="9"/>
      <c r="F14" s="5"/>
      <c r="G14" s="5"/>
      <c r="H14" s="5"/>
      <c r="I14" s="6" t="str">
        <f aca="false">IF(E14="","",E14*(1+Allgemein!$B$19))</f>
        <v/>
      </c>
    </row>
    <row r="15" customFormat="false" ht="15" hidden="false" customHeight="false" outlineLevel="0" collapsed="false">
      <c r="A15" s="5"/>
      <c r="B15" s="5"/>
      <c r="C15" s="5"/>
      <c r="D15" s="12"/>
      <c r="E15" s="9"/>
      <c r="F15" s="5"/>
      <c r="G15" s="5"/>
      <c r="H15" s="5"/>
      <c r="I15" s="6" t="str">
        <f aca="false">IF(E15="","",E15*(1+Allgemein!$B$19))</f>
        <v/>
      </c>
    </row>
    <row r="16" customFormat="false" ht="15" hidden="false" customHeight="false" outlineLevel="0" collapsed="false">
      <c r="A16" s="5"/>
      <c r="B16" s="5"/>
      <c r="C16" s="5"/>
      <c r="D16" s="12"/>
      <c r="E16" s="9"/>
      <c r="F16" s="5"/>
      <c r="G16" s="5"/>
      <c r="H16" s="5"/>
      <c r="I16" s="6" t="str">
        <f aca="false">IF(E16="","",E16*(1+Allgemein!$B$19))</f>
        <v/>
      </c>
    </row>
    <row r="17" customFormat="false" ht="15" hidden="false" customHeight="false" outlineLevel="0" collapsed="false">
      <c r="A17" s="5"/>
      <c r="B17" s="5"/>
      <c r="C17" s="5"/>
      <c r="D17" s="12"/>
      <c r="E17" s="9"/>
      <c r="F17" s="5"/>
      <c r="G17" s="5"/>
      <c r="H17" s="5"/>
      <c r="I17" s="6" t="str">
        <f aca="false">IF(E17="","",E17*(1+Allgemein!$B$19))</f>
        <v/>
      </c>
    </row>
    <row r="18" customFormat="false" ht="15" hidden="false" customHeight="false" outlineLevel="0" collapsed="false">
      <c r="A18" s="5"/>
      <c r="B18" s="5"/>
      <c r="C18" s="5"/>
      <c r="D18" s="12"/>
      <c r="E18" s="9"/>
      <c r="F18" s="5"/>
      <c r="G18" s="5"/>
      <c r="H18" s="5"/>
      <c r="I18" s="6" t="str">
        <f aca="false">IF(E18="","",E18*(1+Allgemein!$B$19))</f>
        <v/>
      </c>
    </row>
    <row r="19" customFormat="false" ht="15" hidden="false" customHeight="false" outlineLevel="0" collapsed="false">
      <c r="A19" s="2" t="s">
        <v>165</v>
      </c>
    </row>
    <row r="21" customFormat="false" ht="15" hidden="false" customHeight="false" outlineLevel="0" collapsed="false">
      <c r="A21" s="3" t="s">
        <v>274</v>
      </c>
    </row>
    <row r="22" customFormat="false" ht="15" hidden="false" customHeight="false" outlineLevel="0" collapsed="false">
      <c r="A22" s="7" t="s">
        <v>32</v>
      </c>
      <c r="B22" s="7" t="s">
        <v>33</v>
      </c>
      <c r="C22" s="7" t="s">
        <v>34</v>
      </c>
      <c r="D22" s="7" t="s">
        <v>35</v>
      </c>
      <c r="E22" s="7" t="s">
        <v>36</v>
      </c>
    </row>
    <row r="23" customFormat="false" ht="15" hidden="false" customHeight="false" outlineLevel="0" collapsed="false">
      <c r="A23" s="8" t="s">
        <v>304</v>
      </c>
      <c r="B23" s="12" t="n">
        <v>30</v>
      </c>
      <c r="C23" s="8" t="s">
        <v>276</v>
      </c>
      <c r="D23" s="6" t="n">
        <f aca="false">B23*Allgemein!$B$17</f>
        <v>2040</v>
      </c>
      <c r="E23" s="6" t="n">
        <f aca="false">D23*(1+Allgemein!$B$19)</f>
        <v>2427.6</v>
      </c>
    </row>
    <row r="24" customFormat="false" ht="15" hidden="false" customHeight="false" outlineLevel="0" collapsed="false">
      <c r="A24" s="8" t="s">
        <v>305</v>
      </c>
      <c r="B24" s="12" t="n">
        <v>12</v>
      </c>
      <c r="C24" s="8" t="s">
        <v>276</v>
      </c>
      <c r="D24" s="6" t="n">
        <f aca="false">B24*Allgemein!$B$17</f>
        <v>816</v>
      </c>
      <c r="E24" s="6" t="n">
        <f aca="false">D24*(1+Allgemein!$B$19)</f>
        <v>971.04</v>
      </c>
    </row>
    <row r="25" customFormat="false" ht="15" hidden="false" customHeight="false" outlineLevel="0" collapsed="false">
      <c r="A25" s="8" t="s">
        <v>306</v>
      </c>
      <c r="B25" s="12" t="n">
        <v>6</v>
      </c>
      <c r="C25" s="8" t="s">
        <v>276</v>
      </c>
      <c r="D25" s="6" t="n">
        <f aca="false">B25*Allgemein!$B$17</f>
        <v>408</v>
      </c>
      <c r="E25" s="6" t="n">
        <f aca="false">D25*(1+Allgemein!$B$19)</f>
        <v>485.52</v>
      </c>
    </row>
    <row r="26" customFormat="false" ht="15" hidden="false" customHeight="false" outlineLevel="0" collapsed="false">
      <c r="A26" s="8" t="s">
        <v>307</v>
      </c>
      <c r="B26" s="12" t="n">
        <v>10</v>
      </c>
      <c r="C26" s="8" t="s">
        <v>276</v>
      </c>
      <c r="D26" s="6" t="n">
        <f aca="false">B26*Allgemein!$B$17</f>
        <v>680</v>
      </c>
      <c r="E26" s="6" t="n">
        <f aca="false">D26*(1+Allgemein!$B$19)</f>
        <v>809.2</v>
      </c>
    </row>
    <row r="27" customFormat="false" ht="15" hidden="false" customHeight="false" outlineLevel="0" collapsed="false">
      <c r="A27" s="8" t="s">
        <v>308</v>
      </c>
      <c r="B27" s="12" t="n">
        <v>2.5</v>
      </c>
      <c r="C27" s="8" t="s">
        <v>276</v>
      </c>
      <c r="D27" s="6" t="n">
        <f aca="false">B27*Allgemein!$B$17</f>
        <v>170</v>
      </c>
      <c r="E27" s="6" t="n">
        <f aca="false">D27*(1+Allgemein!$B$19)</f>
        <v>202.3</v>
      </c>
    </row>
    <row r="28" customFormat="false" ht="15" hidden="false" customHeight="false" outlineLevel="0" collapsed="false">
      <c r="A28" s="8" t="s">
        <v>309</v>
      </c>
      <c r="B28" s="12" t="n">
        <v>6</v>
      </c>
      <c r="C28" s="8" t="s">
        <v>276</v>
      </c>
      <c r="D28" s="6" t="n">
        <f aca="false">B28*Allgemein!$B$17</f>
        <v>408</v>
      </c>
      <c r="E28" s="6" t="n">
        <f aca="false">D28*(1+Allgemein!$B$19)</f>
        <v>485.52</v>
      </c>
    </row>
    <row r="30" customFormat="false" ht="15" hidden="false" customHeight="false" outlineLevel="0" collapsed="false">
      <c r="A30" s="3" t="s">
        <v>284</v>
      </c>
    </row>
    <row r="31" customFormat="false" ht="15" hidden="false" customHeight="false" outlineLevel="0" collapsed="false">
      <c r="A31" s="7" t="s">
        <v>32</v>
      </c>
      <c r="B31" s="7" t="s">
        <v>33</v>
      </c>
      <c r="C31" s="7" t="s">
        <v>34</v>
      </c>
      <c r="D31" s="7" t="s">
        <v>35</v>
      </c>
      <c r="E31" s="7" t="s">
        <v>36</v>
      </c>
    </row>
    <row r="32" customFormat="false" ht="15" hidden="false" customHeight="false" outlineLevel="0" collapsed="false">
      <c r="A32" s="8" t="s">
        <v>310</v>
      </c>
      <c r="B32" s="9" t="n">
        <v>4200</v>
      </c>
      <c r="C32" s="8" t="s">
        <v>40</v>
      </c>
      <c r="E32" s="6" t="n">
        <f aca="false">B32*(1+Allgemein!$B$19)</f>
        <v>4998</v>
      </c>
    </row>
    <row r="33" customFormat="false" ht="15" hidden="false" customHeight="false" outlineLevel="0" collapsed="false">
      <c r="A33" s="8" t="s">
        <v>311</v>
      </c>
      <c r="B33" s="9" t="n">
        <v>900</v>
      </c>
      <c r="C33" s="8" t="s">
        <v>40</v>
      </c>
      <c r="E33" s="6" t="n">
        <f aca="false">B33*(1+Allgemein!$B$19)</f>
        <v>1071</v>
      </c>
    </row>
    <row r="34" customFormat="false" ht="15" hidden="false" customHeight="false" outlineLevel="0" collapsed="false">
      <c r="A34" s="8" t="s">
        <v>312</v>
      </c>
      <c r="B34" s="9" t="n">
        <v>150</v>
      </c>
      <c r="C34" s="8" t="s">
        <v>40</v>
      </c>
      <c r="E34" s="6" t="n">
        <f aca="false">B34*(1+Allgemein!$B$19)</f>
        <v>178.5</v>
      </c>
    </row>
    <row r="35" customFormat="false" ht="15" hidden="false" customHeight="false" outlineLevel="0" collapsed="false">
      <c r="A35" s="8" t="s">
        <v>313</v>
      </c>
      <c r="B35" s="9" t="n">
        <v>350</v>
      </c>
      <c r="C35" s="8" t="s">
        <v>40</v>
      </c>
      <c r="E35" s="6" t="n">
        <f aca="false">B35*(1+Allgemein!$B$19)</f>
        <v>416.5</v>
      </c>
    </row>
    <row r="36" customFormat="false" ht="15" hidden="false" customHeight="false" outlineLevel="0" collapsed="false">
      <c r="A36" s="8" t="s">
        <v>314</v>
      </c>
      <c r="B36" s="9" t="n">
        <v>380</v>
      </c>
      <c r="C36" s="8" t="s">
        <v>40</v>
      </c>
      <c r="E36" s="6" t="n">
        <f aca="false">B36*(1+Allgemein!$B$19)</f>
        <v>452.2</v>
      </c>
    </row>
    <row r="37" customFormat="false" ht="15" hidden="false" customHeight="false" outlineLevel="0" collapsed="false">
      <c r="A37" s="8" t="s">
        <v>315</v>
      </c>
      <c r="B37" s="9" t="n">
        <v>650</v>
      </c>
      <c r="C37" s="8" t="s">
        <v>40</v>
      </c>
      <c r="E37" s="6" t="n">
        <f aca="false">B37*(1+Allgemein!$B$19)</f>
        <v>773.5</v>
      </c>
    </row>
    <row r="39" customFormat="false" ht="15" hidden="false" customHeight="false" outlineLevel="0" collapsed="false">
      <c r="A39" s="3" t="s">
        <v>316</v>
      </c>
    </row>
    <row r="40" customFormat="false" ht="15" hidden="false" customHeight="false" outlineLevel="0" collapsed="false">
      <c r="A40" s="7" t="s">
        <v>32</v>
      </c>
      <c r="B40" s="7" t="s">
        <v>33</v>
      </c>
      <c r="C40" s="7" t="s">
        <v>34</v>
      </c>
      <c r="D40" s="7" t="s">
        <v>35</v>
      </c>
      <c r="E40" s="7" t="s">
        <v>36</v>
      </c>
    </row>
    <row r="41" customFormat="false" ht="15" hidden="false" customHeight="false" outlineLevel="0" collapsed="false">
      <c r="A41" s="8" t="s">
        <v>317</v>
      </c>
      <c r="B41" s="12" t="n">
        <v>0.25</v>
      </c>
      <c r="C41" s="8" t="s">
        <v>294</v>
      </c>
    </row>
  </sheetData>
  <dataValidations count="3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8" type="list">
      <formula1>"Ja,Nein"</formula1>
      <formula2>0</formula2>
    </dataValidation>
    <dataValidation allowBlank="true" errorStyle="stop" operator="between" showDropDown="false" showErrorMessage="true" showInputMessage="false" sqref="F9:F18" type="list">
      <formula1>"–,A+++,A++,A+,A,B,C,D"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318</v>
      </c>
    </row>
    <row r="7" customFormat="false" ht="15" hidden="false" customHeight="false" outlineLevel="0" collapsed="false">
      <c r="A7" s="2" t="s">
        <v>319</v>
      </c>
    </row>
    <row r="8" customFormat="false" ht="1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320</v>
      </c>
      <c r="E8" s="7" t="s">
        <v>321</v>
      </c>
      <c r="F8" s="7" t="s">
        <v>71</v>
      </c>
    </row>
    <row r="9" customFormat="false" ht="15" hidden="false" customHeight="false" outlineLevel="0" collapsed="false">
      <c r="A9" s="5" t="s">
        <v>24</v>
      </c>
      <c r="B9" s="5" t="s">
        <v>322</v>
      </c>
      <c r="C9" s="5" t="s">
        <v>323</v>
      </c>
      <c r="D9" s="12" t="n">
        <v>450</v>
      </c>
      <c r="E9" s="9" t="n">
        <v>118</v>
      </c>
      <c r="F9" s="6" t="n">
        <f aca="false">IF(E9="","",E9*(1+Allgemein!$B$19))</f>
        <v>140.42</v>
      </c>
    </row>
    <row r="10" customFormat="false" ht="15" hidden="false" customHeight="false" outlineLevel="0" collapsed="false">
      <c r="A10" s="5" t="s">
        <v>24</v>
      </c>
      <c r="B10" s="5" t="s">
        <v>324</v>
      </c>
      <c r="C10" s="5" t="s">
        <v>325</v>
      </c>
      <c r="D10" s="12" t="n">
        <v>400</v>
      </c>
      <c r="E10" s="9" t="n">
        <v>175</v>
      </c>
      <c r="F10" s="6" t="n">
        <f aca="false">IF(E10="","",E10*(1+Allgemein!$B$19))</f>
        <v>208.25</v>
      </c>
    </row>
    <row r="11" customFormat="false" ht="15" hidden="false" customHeight="false" outlineLevel="0" collapsed="false">
      <c r="A11" s="5"/>
      <c r="B11" s="5"/>
      <c r="C11" s="5"/>
      <c r="D11" s="12"/>
      <c r="E11" s="9"/>
      <c r="F11" s="6" t="str">
        <f aca="false">IF(E11="","",E11*(1+Allgemein!$B$19))</f>
        <v/>
      </c>
    </row>
    <row r="12" customFormat="false" ht="15" hidden="false" customHeight="false" outlineLevel="0" collapsed="false">
      <c r="A12" s="5"/>
      <c r="B12" s="5"/>
      <c r="C12" s="5"/>
      <c r="D12" s="12"/>
      <c r="E12" s="9"/>
      <c r="F12" s="6" t="str">
        <f aca="false">IF(E12="","",E12*(1+Allgemein!$B$19))</f>
        <v/>
      </c>
    </row>
    <row r="13" customFormat="false" ht="15" hidden="false" customHeight="false" outlineLevel="0" collapsed="false">
      <c r="A13" s="5"/>
      <c r="B13" s="5"/>
      <c r="C13" s="5"/>
      <c r="D13" s="12"/>
      <c r="E13" s="9"/>
      <c r="F13" s="6" t="str">
        <f aca="false">IF(E13="","",E13*(1+Allgemein!$B$19))</f>
        <v/>
      </c>
    </row>
    <row r="14" customFormat="false" ht="15" hidden="false" customHeight="false" outlineLevel="0" collapsed="false">
      <c r="A14" s="5"/>
      <c r="B14" s="5"/>
      <c r="C14" s="5"/>
      <c r="D14" s="12"/>
      <c r="E14" s="9"/>
      <c r="F14" s="6" t="str">
        <f aca="false">IF(E14="","",E14*(1+Allgemein!$B$19))</f>
        <v/>
      </c>
    </row>
    <row r="15" customFormat="false" ht="15" hidden="false" customHeight="false" outlineLevel="0" collapsed="false">
      <c r="A15" s="5"/>
      <c r="B15" s="5"/>
      <c r="C15" s="5"/>
      <c r="D15" s="12"/>
      <c r="E15" s="9"/>
      <c r="F15" s="6" t="str">
        <f aca="false">IF(E15="","",E15*(1+Allgemein!$B$19))</f>
        <v/>
      </c>
    </row>
    <row r="16" customFormat="false" ht="15" hidden="false" customHeight="false" outlineLevel="0" collapsed="false">
      <c r="A16" s="2" t="s">
        <v>165</v>
      </c>
    </row>
    <row r="18" customFormat="false" ht="15" hidden="false" customHeight="false" outlineLevel="0" collapsed="false">
      <c r="A18" s="3" t="s">
        <v>326</v>
      </c>
    </row>
    <row r="19" customFormat="false" ht="15" hidden="false" customHeight="false" outlineLevel="0" collapsed="false">
      <c r="A19" s="2" t="s">
        <v>327</v>
      </c>
    </row>
    <row r="20" customFormat="false" ht="15" hidden="false" customHeight="false" outlineLevel="0" collapsed="false">
      <c r="A20" s="7" t="s">
        <v>56</v>
      </c>
      <c r="B20" s="7" t="s">
        <v>57</v>
      </c>
      <c r="C20" s="7" t="s">
        <v>58</v>
      </c>
      <c r="D20" s="7" t="s">
        <v>59</v>
      </c>
      <c r="E20" s="7" t="s">
        <v>62</v>
      </c>
      <c r="F20" s="7" t="s">
        <v>71</v>
      </c>
    </row>
    <row r="21" customFormat="false" ht="15" hidden="false" customHeight="false" outlineLevel="0" collapsed="false">
      <c r="A21" s="5" t="s">
        <v>24</v>
      </c>
      <c r="B21" s="5" t="s">
        <v>328</v>
      </c>
      <c r="C21" s="5" t="s">
        <v>329</v>
      </c>
      <c r="D21" s="12" t="n">
        <v>4</v>
      </c>
      <c r="E21" s="9" t="n">
        <v>1750</v>
      </c>
      <c r="F21" s="6" t="n">
        <f aca="false">IF(E21="","",E21*(1+Allgemein!$B$19))</f>
        <v>2082.5</v>
      </c>
    </row>
    <row r="22" customFormat="false" ht="15" hidden="false" customHeight="false" outlineLevel="0" collapsed="false">
      <c r="A22" s="5" t="s">
        <v>24</v>
      </c>
      <c r="B22" s="5" t="s">
        <v>328</v>
      </c>
      <c r="C22" s="5" t="s">
        <v>330</v>
      </c>
      <c r="D22" s="12" t="n">
        <v>6</v>
      </c>
      <c r="E22" s="9" t="n">
        <v>2050</v>
      </c>
      <c r="F22" s="6" t="n">
        <f aca="false">IF(E22="","",E22*(1+Allgemein!$B$19))</f>
        <v>2439.5</v>
      </c>
    </row>
    <row r="23" customFormat="false" ht="15" hidden="false" customHeight="false" outlineLevel="0" collapsed="false">
      <c r="A23" s="5" t="s">
        <v>24</v>
      </c>
      <c r="B23" s="5" t="s">
        <v>328</v>
      </c>
      <c r="C23" s="5" t="s">
        <v>331</v>
      </c>
      <c r="D23" s="12" t="n">
        <v>8</v>
      </c>
      <c r="E23" s="9" t="n">
        <v>2550</v>
      </c>
      <c r="F23" s="6" t="n">
        <f aca="false">IF(E23="","",E23*(1+Allgemein!$B$19))</f>
        <v>3034.5</v>
      </c>
    </row>
    <row r="24" customFormat="false" ht="15" hidden="false" customHeight="false" outlineLevel="0" collapsed="false">
      <c r="A24" s="5" t="s">
        <v>24</v>
      </c>
      <c r="B24" s="5" t="s">
        <v>328</v>
      </c>
      <c r="C24" s="5" t="s">
        <v>332</v>
      </c>
      <c r="D24" s="12" t="n">
        <v>10</v>
      </c>
      <c r="E24" s="9" t="n">
        <v>2850</v>
      </c>
      <c r="F24" s="6" t="n">
        <f aca="false">IF(E24="","",E24*(1+Allgemein!$B$19))</f>
        <v>3391.5</v>
      </c>
    </row>
    <row r="25" customFormat="false" ht="15" hidden="false" customHeight="false" outlineLevel="0" collapsed="false">
      <c r="A25" s="5" t="s">
        <v>24</v>
      </c>
      <c r="B25" s="5" t="s">
        <v>328</v>
      </c>
      <c r="C25" s="5" t="s">
        <v>333</v>
      </c>
      <c r="D25" s="12" t="n">
        <v>15</v>
      </c>
      <c r="E25" s="9" t="n">
        <v>3600</v>
      </c>
      <c r="F25" s="6" t="n">
        <f aca="false">IF(E25="","",E25*(1+Allgemein!$B$19))</f>
        <v>4284</v>
      </c>
    </row>
    <row r="26" customFormat="false" ht="15" hidden="false" customHeight="false" outlineLevel="0" collapsed="false">
      <c r="A26" s="5"/>
      <c r="B26" s="5"/>
      <c r="C26" s="5"/>
      <c r="D26" s="12"/>
      <c r="E26" s="9"/>
      <c r="F26" s="6" t="str">
        <f aca="false">IF(E26="","",E26*(1+Allgemein!$B$19))</f>
        <v/>
      </c>
    </row>
    <row r="27" customFormat="false" ht="15" hidden="false" customHeight="false" outlineLevel="0" collapsed="false">
      <c r="A27" s="5"/>
      <c r="B27" s="5"/>
      <c r="C27" s="5"/>
      <c r="D27" s="12"/>
      <c r="E27" s="9"/>
      <c r="F27" s="6" t="str">
        <f aca="false">IF(E27="","",E27*(1+Allgemein!$B$19))</f>
        <v/>
      </c>
    </row>
    <row r="28" customFormat="false" ht="15" hidden="false" customHeight="false" outlineLevel="0" collapsed="false">
      <c r="A28" s="5"/>
      <c r="B28" s="5"/>
      <c r="C28" s="5"/>
      <c r="D28" s="12"/>
      <c r="E28" s="9"/>
      <c r="F28" s="6" t="str">
        <f aca="false">IF(E28="","",E28*(1+Allgemein!$B$19))</f>
        <v/>
      </c>
    </row>
    <row r="29" customFormat="false" ht="15" hidden="false" customHeight="false" outlineLevel="0" collapsed="false">
      <c r="A29" s="5"/>
      <c r="B29" s="5"/>
      <c r="C29" s="5"/>
      <c r="D29" s="12"/>
      <c r="E29" s="9"/>
      <c r="F29" s="6" t="str">
        <f aca="false">IF(E29="","",E29*(1+Allgemein!$B$19))</f>
        <v/>
      </c>
    </row>
    <row r="30" customFormat="false" ht="15" hidden="false" customHeight="false" outlineLevel="0" collapsed="false">
      <c r="A30" s="5"/>
      <c r="B30" s="5"/>
      <c r="C30" s="5"/>
      <c r="D30" s="12"/>
      <c r="E30" s="9"/>
      <c r="F30" s="6" t="str">
        <f aca="false">IF(E30="","",E30*(1+Allgemein!$B$19))</f>
        <v/>
      </c>
    </row>
    <row r="31" customFormat="false" ht="15" hidden="false" customHeight="false" outlineLevel="0" collapsed="false">
      <c r="A31" s="2" t="s">
        <v>165</v>
      </c>
    </row>
    <row r="33" customFormat="false" ht="15" hidden="false" customHeight="false" outlineLevel="0" collapsed="false">
      <c r="A33" s="3" t="s">
        <v>334</v>
      </c>
    </row>
    <row r="34" customFormat="false" ht="15" hidden="false" customHeight="false" outlineLevel="0" collapsed="false">
      <c r="A34" s="2" t="s">
        <v>335</v>
      </c>
    </row>
    <row r="35" customFormat="false" ht="15" hidden="false" customHeight="false" outlineLevel="0" collapsed="false">
      <c r="A35" s="7" t="s">
        <v>56</v>
      </c>
      <c r="B35" s="7" t="s">
        <v>57</v>
      </c>
      <c r="C35" s="7" t="s">
        <v>58</v>
      </c>
      <c r="D35" s="7" t="s">
        <v>336</v>
      </c>
      <c r="E35" s="7" t="s">
        <v>62</v>
      </c>
      <c r="F35" s="7" t="s">
        <v>71</v>
      </c>
    </row>
    <row r="36" customFormat="false" ht="15" hidden="false" customHeight="false" outlineLevel="0" collapsed="false">
      <c r="A36" s="5" t="s">
        <v>24</v>
      </c>
      <c r="B36" s="5" t="s">
        <v>337</v>
      </c>
      <c r="C36" s="5" t="s">
        <v>338</v>
      </c>
      <c r="D36" s="12" t="n">
        <v>5.1</v>
      </c>
      <c r="E36" s="9" t="n">
        <v>2950</v>
      </c>
      <c r="F36" s="6" t="n">
        <f aca="false">IF(E36="","",E36*(1+Allgemein!$B$19))</f>
        <v>3510.5</v>
      </c>
    </row>
    <row r="37" customFormat="false" ht="15" hidden="false" customHeight="false" outlineLevel="0" collapsed="false">
      <c r="A37" s="5" t="s">
        <v>24</v>
      </c>
      <c r="B37" s="5" t="s">
        <v>337</v>
      </c>
      <c r="C37" s="5" t="s">
        <v>339</v>
      </c>
      <c r="D37" s="12" t="n">
        <v>7.7</v>
      </c>
      <c r="E37" s="9" t="n">
        <v>4050</v>
      </c>
      <c r="F37" s="6" t="n">
        <f aca="false">IF(E37="","",E37*(1+Allgemein!$B$19))</f>
        <v>4819.5</v>
      </c>
    </row>
    <row r="38" customFormat="false" ht="15" hidden="false" customHeight="false" outlineLevel="0" collapsed="false">
      <c r="A38" s="5" t="s">
        <v>24</v>
      </c>
      <c r="B38" s="5" t="s">
        <v>337</v>
      </c>
      <c r="C38" s="5" t="s">
        <v>340</v>
      </c>
      <c r="D38" s="12" t="n">
        <v>10.2</v>
      </c>
      <c r="E38" s="9" t="n">
        <v>5150</v>
      </c>
      <c r="F38" s="6" t="n">
        <f aca="false">IF(E38="","",E38*(1+Allgemein!$B$19))</f>
        <v>6128.5</v>
      </c>
    </row>
    <row r="39" customFormat="false" ht="15" hidden="false" customHeight="false" outlineLevel="0" collapsed="false">
      <c r="A39" s="5"/>
      <c r="B39" s="5"/>
      <c r="C39" s="5"/>
      <c r="D39" s="12"/>
      <c r="E39" s="9"/>
      <c r="F39" s="6" t="str">
        <f aca="false">IF(E39="","",E39*(1+Allgemein!$B$19))</f>
        <v/>
      </c>
    </row>
    <row r="40" customFormat="false" ht="15" hidden="false" customHeight="false" outlineLevel="0" collapsed="false">
      <c r="A40" s="5"/>
      <c r="B40" s="5"/>
      <c r="C40" s="5"/>
      <c r="D40" s="12"/>
      <c r="E40" s="9"/>
      <c r="F40" s="6" t="str">
        <f aca="false">IF(E40="","",E40*(1+Allgemein!$B$19))</f>
        <v/>
      </c>
    </row>
    <row r="41" customFormat="false" ht="15" hidden="false" customHeight="false" outlineLevel="0" collapsed="false">
      <c r="A41" s="5"/>
      <c r="B41" s="5"/>
      <c r="C41" s="5"/>
      <c r="D41" s="12"/>
      <c r="E41" s="9"/>
      <c r="F41" s="6" t="str">
        <f aca="false">IF(E41="","",E41*(1+Allgemein!$B$19))</f>
        <v/>
      </c>
    </row>
    <row r="42" customFormat="false" ht="15" hidden="false" customHeight="false" outlineLevel="0" collapsed="false">
      <c r="A42" s="5"/>
      <c r="B42" s="5"/>
      <c r="C42" s="5"/>
      <c r="D42" s="12"/>
      <c r="E42" s="9"/>
      <c r="F42" s="6" t="str">
        <f aca="false">IF(E42="","",E42*(1+Allgemein!$B$19))</f>
        <v/>
      </c>
    </row>
    <row r="43" customFormat="false" ht="15" hidden="false" customHeight="false" outlineLevel="0" collapsed="false">
      <c r="A43" s="5"/>
      <c r="B43" s="5"/>
      <c r="C43" s="5"/>
      <c r="D43" s="12"/>
      <c r="E43" s="9"/>
      <c r="F43" s="6" t="str">
        <f aca="false">IF(E43="","",E43*(1+Allgemein!$B$19))</f>
        <v/>
      </c>
    </row>
    <row r="44" customFormat="false" ht="15" hidden="false" customHeight="false" outlineLevel="0" collapsed="false">
      <c r="A44" s="2" t="s">
        <v>165</v>
      </c>
    </row>
    <row r="46" customFormat="false" ht="15" hidden="false" customHeight="false" outlineLevel="0" collapsed="false">
      <c r="A46" s="3" t="s">
        <v>341</v>
      </c>
    </row>
    <row r="47" customFormat="false" ht="15" hidden="false" customHeight="false" outlineLevel="0" collapsed="false">
      <c r="A47" s="2" t="s">
        <v>342</v>
      </c>
    </row>
    <row r="48" customFormat="false" ht="15" hidden="false" customHeight="false" outlineLevel="0" collapsed="false">
      <c r="A48" s="7" t="s">
        <v>32</v>
      </c>
      <c r="B48" s="7" t="s">
        <v>33</v>
      </c>
      <c r="C48" s="7" t="s">
        <v>34</v>
      </c>
      <c r="D48" s="7" t="s">
        <v>35</v>
      </c>
      <c r="E48" s="7" t="s">
        <v>36</v>
      </c>
    </row>
    <row r="49" customFormat="false" ht="15" hidden="false" customHeight="false" outlineLevel="0" collapsed="false">
      <c r="A49" s="8" t="s">
        <v>343</v>
      </c>
      <c r="B49" s="12" t="n">
        <v>5</v>
      </c>
      <c r="C49" s="8" t="s">
        <v>276</v>
      </c>
      <c r="D49" s="6" t="n">
        <f aca="false">B49*Allgemein!$B$17</f>
        <v>340</v>
      </c>
      <c r="E49" s="6" t="n">
        <f aca="false">D49*(1+Allgemein!$B$19)</f>
        <v>404.6</v>
      </c>
    </row>
    <row r="51" customFormat="false" ht="15" hidden="false" customHeight="false" outlineLevel="0" collapsed="false">
      <c r="A51" s="3" t="s">
        <v>274</v>
      </c>
    </row>
    <row r="52" customFormat="false" ht="15" hidden="false" customHeight="false" outlineLevel="0" collapsed="false">
      <c r="A52" s="7" t="s">
        <v>32</v>
      </c>
      <c r="B52" s="7" t="s">
        <v>33</v>
      </c>
      <c r="C52" s="7" t="s">
        <v>34</v>
      </c>
      <c r="D52" s="7" t="s">
        <v>35</v>
      </c>
      <c r="E52" s="7" t="s">
        <v>36</v>
      </c>
    </row>
    <row r="53" customFormat="false" ht="15" hidden="false" customHeight="false" outlineLevel="0" collapsed="false">
      <c r="A53" s="8" t="s">
        <v>344</v>
      </c>
      <c r="B53" s="12" t="n">
        <v>8</v>
      </c>
      <c r="C53" s="8" t="s">
        <v>276</v>
      </c>
      <c r="D53" s="6" t="n">
        <f aca="false">B53*Allgemein!$B$17</f>
        <v>544</v>
      </c>
      <c r="E53" s="6" t="n">
        <f aca="false">D53*(1+Allgemein!$B$19)</f>
        <v>647.36</v>
      </c>
    </row>
    <row r="54" customFormat="false" ht="15" hidden="false" customHeight="false" outlineLevel="0" collapsed="false">
      <c r="A54" s="8" t="s">
        <v>345</v>
      </c>
      <c r="B54" s="12" t="n">
        <v>0.6</v>
      </c>
      <c r="C54" s="8" t="s">
        <v>276</v>
      </c>
      <c r="D54" s="6" t="n">
        <f aca="false">B54*Allgemein!$B$17</f>
        <v>40.8</v>
      </c>
      <c r="E54" s="6" t="n">
        <f aca="false">D54*(1+Allgemein!$B$19)</f>
        <v>48.552</v>
      </c>
    </row>
    <row r="55" customFormat="false" ht="15" hidden="false" customHeight="false" outlineLevel="0" collapsed="false">
      <c r="A55" s="8" t="s">
        <v>346</v>
      </c>
      <c r="B55" s="12" t="n">
        <v>4</v>
      </c>
      <c r="C55" s="8" t="s">
        <v>276</v>
      </c>
      <c r="D55" s="6" t="n">
        <f aca="false">B55*Allgemein!$B$17</f>
        <v>272</v>
      </c>
      <c r="E55" s="6" t="n">
        <f aca="false">D55*(1+Allgemein!$B$19)</f>
        <v>323.68</v>
      </c>
    </row>
    <row r="56" customFormat="false" ht="15" hidden="false" customHeight="false" outlineLevel="0" collapsed="false">
      <c r="A56" s="8" t="s">
        <v>347</v>
      </c>
      <c r="B56" s="12" t="n">
        <v>4</v>
      </c>
      <c r="C56" s="8" t="s">
        <v>276</v>
      </c>
      <c r="D56" s="6" t="n">
        <f aca="false">B56*Allgemein!$B$17</f>
        <v>272</v>
      </c>
      <c r="E56" s="6" t="n">
        <f aca="false">D56*(1+Allgemein!$B$19)</f>
        <v>323.68</v>
      </c>
    </row>
    <row r="58" customFormat="false" ht="15" hidden="false" customHeight="false" outlineLevel="0" collapsed="false">
      <c r="A58" s="3" t="s">
        <v>284</v>
      </c>
    </row>
    <row r="59" customFormat="false" ht="15" hidden="false" customHeight="false" outlineLevel="0" collapsed="false">
      <c r="A59" s="7" t="s">
        <v>32</v>
      </c>
      <c r="B59" s="7" t="s">
        <v>33</v>
      </c>
      <c r="C59" s="7" t="s">
        <v>34</v>
      </c>
      <c r="D59" s="7" t="s">
        <v>35</v>
      </c>
      <c r="E59" s="7" t="s">
        <v>36</v>
      </c>
    </row>
    <row r="60" customFormat="false" ht="15" hidden="false" customHeight="false" outlineLevel="0" collapsed="false">
      <c r="A60" s="8" t="s">
        <v>348</v>
      </c>
      <c r="B60" s="9" t="n">
        <v>48</v>
      </c>
      <c r="C60" s="8" t="s">
        <v>40</v>
      </c>
      <c r="E60" s="6" t="n">
        <f aca="false">B60*(1+Allgemein!$B$19)</f>
        <v>57.12</v>
      </c>
    </row>
    <row r="61" customFormat="false" ht="15" hidden="false" customHeight="false" outlineLevel="0" collapsed="false">
      <c r="A61" s="8" t="s">
        <v>349</v>
      </c>
      <c r="B61" s="9" t="n">
        <v>480</v>
      </c>
      <c r="C61" s="8" t="s">
        <v>40</v>
      </c>
      <c r="E61" s="6" t="n">
        <f aca="false">B61*(1+Allgemein!$B$19)</f>
        <v>571.2</v>
      </c>
    </row>
    <row r="62" customFormat="false" ht="15" hidden="false" customHeight="false" outlineLevel="0" collapsed="false">
      <c r="A62" s="8" t="s">
        <v>350</v>
      </c>
      <c r="B62" s="9" t="n">
        <v>650</v>
      </c>
      <c r="C62" s="8" t="s">
        <v>40</v>
      </c>
      <c r="E62" s="6" t="n">
        <f aca="false">B62*(1+Allgemein!$B$19)</f>
        <v>773.5</v>
      </c>
    </row>
    <row r="63" customFormat="false" ht="15" hidden="false" customHeight="false" outlineLevel="0" collapsed="false">
      <c r="A63" s="8" t="s">
        <v>351</v>
      </c>
      <c r="B63" s="9" t="n">
        <v>450</v>
      </c>
      <c r="C63" s="8" t="s">
        <v>40</v>
      </c>
      <c r="E63" s="6" t="n">
        <f aca="false">B63*(1+Allgemein!$B$19)</f>
        <v>535.5</v>
      </c>
    </row>
    <row r="64" customFormat="false" ht="15" hidden="false" customHeight="false" outlineLevel="0" collapsed="false">
      <c r="A64" s="8" t="s">
        <v>352</v>
      </c>
      <c r="B64" s="9" t="n">
        <v>250</v>
      </c>
      <c r="C64" s="8" t="s">
        <v>40</v>
      </c>
      <c r="E64" s="6" t="n">
        <f aca="false">B64*(1+Allgemein!$B$19)</f>
        <v>297.5</v>
      </c>
    </row>
    <row r="65" customFormat="false" ht="15" hidden="false" customHeight="false" outlineLevel="0" collapsed="false">
      <c r="A65" s="8" t="s">
        <v>353</v>
      </c>
      <c r="B65" s="9" t="n">
        <v>450</v>
      </c>
      <c r="C65" s="8" t="s">
        <v>40</v>
      </c>
      <c r="E65" s="6" t="n">
        <f aca="false">B65*(1+Allgemein!$B$19)</f>
        <v>535.5</v>
      </c>
    </row>
    <row r="67" customFormat="false" ht="15" hidden="false" customHeight="false" outlineLevel="0" collapsed="false">
      <c r="A67" s="3" t="s">
        <v>354</v>
      </c>
    </row>
    <row r="68" customFormat="false" ht="15" hidden="false" customHeight="false" outlineLevel="0" collapsed="false">
      <c r="A68" s="7" t="s">
        <v>32</v>
      </c>
      <c r="B68" s="7" t="s">
        <v>33</v>
      </c>
      <c r="C68" s="7" t="s">
        <v>34</v>
      </c>
      <c r="D68" s="7" t="s">
        <v>35</v>
      </c>
      <c r="E68" s="7" t="s">
        <v>36</v>
      </c>
    </row>
    <row r="69" customFormat="false" ht="15" hidden="false" customHeight="false" outlineLevel="0" collapsed="false">
      <c r="A69" s="8" t="s">
        <v>355</v>
      </c>
      <c r="B69" s="12" t="n">
        <v>950</v>
      </c>
      <c r="C69" s="8" t="s">
        <v>356</v>
      </c>
    </row>
    <row r="70" customFormat="false" ht="15" hidden="false" customHeight="false" outlineLevel="0" collapsed="false">
      <c r="A70" s="8" t="s">
        <v>357</v>
      </c>
      <c r="B70" s="13" t="n">
        <v>0.35</v>
      </c>
      <c r="C70" s="8" t="s">
        <v>358</v>
      </c>
    </row>
    <row r="71" customFormat="false" ht="15" hidden="false" customHeight="false" outlineLevel="0" collapsed="false">
      <c r="A71" s="8" t="s">
        <v>359</v>
      </c>
      <c r="B71" s="13" t="n">
        <v>0.077</v>
      </c>
      <c r="C71" s="8" t="s">
        <v>358</v>
      </c>
    </row>
  </sheetData>
  <dataValidations count="4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5" type="list">
      <formula1>"Ja,Nein"</formula1>
      <formula2>0</formula2>
    </dataValidation>
    <dataValidation allowBlank="true" errorStyle="stop" operator="between" showDropDown="false" showErrorMessage="true" showInputMessage="false" sqref="A21:A30" type="list">
      <formula1>"Ja,Nein"</formula1>
      <formula2>0</formula2>
    </dataValidation>
    <dataValidation allowBlank="true" errorStyle="stop" operator="between" showDropDown="false" showErrorMessage="true" showInputMessage="false" sqref="A36:A43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360</v>
      </c>
    </row>
    <row r="7" customFormat="false" ht="15" hidden="false" customHeight="false" outlineLevel="0" collapsed="false">
      <c r="A7" s="7" t="s">
        <v>32</v>
      </c>
      <c r="B7" s="7" t="s">
        <v>33</v>
      </c>
      <c r="C7" s="7" t="s">
        <v>34</v>
      </c>
      <c r="D7" s="7" t="s">
        <v>35</v>
      </c>
      <c r="E7" s="7" t="s">
        <v>36</v>
      </c>
    </row>
    <row r="8" customFormat="false" ht="15" hidden="false" customHeight="false" outlineLevel="0" collapsed="false">
      <c r="A8" s="8" t="s">
        <v>361</v>
      </c>
      <c r="B8" s="5" t="s">
        <v>362</v>
      </c>
      <c r="C8" s="8"/>
    </row>
    <row r="9" customFormat="false" ht="15" hidden="false" customHeight="false" outlineLevel="0" collapsed="false">
      <c r="A9" s="8" t="s">
        <v>363</v>
      </c>
      <c r="B9" s="9" t="n">
        <v>900</v>
      </c>
      <c r="C9" s="8" t="s">
        <v>40</v>
      </c>
      <c r="E9" s="6" t="n">
        <f aca="false">B9*(1+Allgemein!$B$19)</f>
        <v>1071</v>
      </c>
    </row>
    <row r="10" customFormat="false" ht="15" hidden="false" customHeight="false" outlineLevel="0" collapsed="false">
      <c r="A10" s="8" t="s">
        <v>364</v>
      </c>
      <c r="B10" s="12" t="n">
        <v>12</v>
      </c>
      <c r="C10" s="8" t="s">
        <v>276</v>
      </c>
      <c r="D10" s="6" t="n">
        <f aca="false">B10*Allgemein!$B$17</f>
        <v>816</v>
      </c>
      <c r="E10" s="6" t="n">
        <f aca="false">D10*(1+Allgemein!$B$19)</f>
        <v>971.04</v>
      </c>
    </row>
    <row r="11" customFormat="false" ht="15" hidden="false" customHeight="false" outlineLevel="0" collapsed="false">
      <c r="A11" s="8" t="s">
        <v>365</v>
      </c>
      <c r="B11" s="9" t="n">
        <v>160</v>
      </c>
      <c r="C11" s="8" t="s">
        <v>40</v>
      </c>
      <c r="E11" s="6" t="n">
        <f aca="false">B11*(1+Allgemein!$B$19)</f>
        <v>190.4</v>
      </c>
    </row>
    <row r="12" customFormat="false" ht="15" hidden="false" customHeight="false" outlineLevel="0" collapsed="false">
      <c r="A12" s="8" t="s">
        <v>366</v>
      </c>
      <c r="B12" s="12" t="n">
        <v>1.5</v>
      </c>
      <c r="C12" s="8" t="s">
        <v>276</v>
      </c>
      <c r="D12" s="6" t="n">
        <f aca="false">B12*Allgemein!$B$17</f>
        <v>102</v>
      </c>
      <c r="E12" s="6" t="n">
        <f aca="false">D12*(1+Allgemein!$B$19)</f>
        <v>121.38</v>
      </c>
    </row>
    <row r="13" customFormat="false" ht="15" hidden="false" customHeight="false" outlineLevel="0" collapsed="false">
      <c r="A13" s="8" t="s">
        <v>367</v>
      </c>
      <c r="B13" s="9" t="n">
        <v>120</v>
      </c>
      <c r="C13" s="8" t="s">
        <v>40</v>
      </c>
      <c r="E13" s="6" t="n">
        <f aca="false">B13*(1+Allgemein!$B$19)</f>
        <v>142.8</v>
      </c>
    </row>
    <row r="14" customFormat="false" ht="15" hidden="false" customHeight="false" outlineLevel="0" collapsed="false">
      <c r="A14" s="8" t="s">
        <v>368</v>
      </c>
      <c r="B14" s="12" t="n">
        <v>1</v>
      </c>
      <c r="C14" s="8" t="s">
        <v>276</v>
      </c>
      <c r="D14" s="6" t="n">
        <f aca="false">B14*Allgemein!$B$17</f>
        <v>68</v>
      </c>
      <c r="E14" s="6" t="n">
        <f aca="false">D14*(1+Allgemein!$B$19)</f>
        <v>80.92</v>
      </c>
    </row>
    <row r="15" customFormat="false" ht="15" hidden="false" customHeight="false" outlineLevel="0" collapsed="false">
      <c r="A15" s="8" t="s">
        <v>369</v>
      </c>
      <c r="B15" s="9" t="n">
        <v>140</v>
      </c>
      <c r="C15" s="8" t="s">
        <v>40</v>
      </c>
      <c r="E15" s="6" t="n">
        <f aca="false">B15*(1+Allgemein!$B$19)</f>
        <v>166.6</v>
      </c>
    </row>
    <row r="16" customFormat="false" ht="15" hidden="false" customHeight="false" outlineLevel="0" collapsed="false">
      <c r="A16" s="8" t="s">
        <v>370</v>
      </c>
      <c r="B16" s="12" t="n">
        <v>1.5</v>
      </c>
      <c r="C16" s="8" t="s">
        <v>276</v>
      </c>
      <c r="D16" s="6" t="n">
        <f aca="false">B16*Allgemein!$B$17</f>
        <v>102</v>
      </c>
      <c r="E16" s="6" t="n">
        <f aca="false">D16*(1+Allgemein!$B$19)</f>
        <v>121.38</v>
      </c>
    </row>
    <row r="17" customFormat="false" ht="15" hidden="false" customHeight="false" outlineLevel="0" collapsed="false">
      <c r="A17" s="8" t="s">
        <v>371</v>
      </c>
      <c r="B17" s="9" t="n">
        <v>600</v>
      </c>
      <c r="C17" s="8" t="s">
        <v>40</v>
      </c>
      <c r="E17" s="6" t="n">
        <f aca="false">B17*(1+Allgemein!$B$19)</f>
        <v>714</v>
      </c>
    </row>
    <row r="18" customFormat="false" ht="15" hidden="false" customHeight="false" outlineLevel="0" collapsed="false">
      <c r="A18" s="8" t="s">
        <v>372</v>
      </c>
      <c r="B18" s="12" t="n">
        <v>5</v>
      </c>
      <c r="C18" s="8" t="s">
        <v>276</v>
      </c>
      <c r="D18" s="6" t="n">
        <f aca="false">B18*Allgemein!$B$17</f>
        <v>340</v>
      </c>
      <c r="E18" s="6" t="n">
        <f aca="false">D18*(1+Allgemein!$B$19)</f>
        <v>404.6</v>
      </c>
    </row>
    <row r="20" customFormat="false" ht="15" hidden="false" customHeight="false" outlineLevel="0" collapsed="false">
      <c r="A20" s="3" t="s">
        <v>373</v>
      </c>
    </row>
    <row r="21" customFormat="false" ht="15" hidden="false" customHeight="false" outlineLevel="0" collapsed="false">
      <c r="A21" s="7" t="s">
        <v>32</v>
      </c>
      <c r="B21" s="7" t="s">
        <v>33</v>
      </c>
      <c r="C21" s="7" t="s">
        <v>34</v>
      </c>
      <c r="D21" s="7" t="s">
        <v>35</v>
      </c>
      <c r="E21" s="7" t="s">
        <v>36</v>
      </c>
    </row>
    <row r="22" customFormat="false" ht="15" hidden="false" customHeight="false" outlineLevel="0" collapsed="false">
      <c r="A22" s="8" t="s">
        <v>361</v>
      </c>
      <c r="B22" s="5" t="s">
        <v>374</v>
      </c>
      <c r="C22" s="8"/>
    </row>
    <row r="23" customFormat="false" ht="15" hidden="false" customHeight="false" outlineLevel="0" collapsed="false">
      <c r="A23" s="8" t="s">
        <v>363</v>
      </c>
      <c r="B23" s="9" t="n">
        <v>180</v>
      </c>
      <c r="C23" s="8" t="s">
        <v>40</v>
      </c>
      <c r="E23" s="6" t="n">
        <f aca="false">B23*(1+Allgemein!$B$19)</f>
        <v>214.2</v>
      </c>
    </row>
    <row r="24" customFormat="false" ht="15" hidden="false" customHeight="false" outlineLevel="0" collapsed="false">
      <c r="A24" s="8" t="s">
        <v>364</v>
      </c>
      <c r="B24" s="12" t="n">
        <v>3</v>
      </c>
      <c r="C24" s="8" t="s">
        <v>276</v>
      </c>
      <c r="D24" s="6" t="n">
        <f aca="false">B24*Allgemein!$B$17</f>
        <v>204</v>
      </c>
      <c r="E24" s="6" t="n">
        <f aca="false">D24*(1+Allgemein!$B$19)</f>
        <v>242.76</v>
      </c>
    </row>
    <row r="25" customFormat="false" ht="15" hidden="false" customHeight="false" outlineLevel="0" collapsed="false">
      <c r="A25" s="8" t="s">
        <v>365</v>
      </c>
      <c r="B25" s="9" t="n">
        <v>75</v>
      </c>
      <c r="C25" s="8" t="s">
        <v>40</v>
      </c>
      <c r="E25" s="6" t="n">
        <f aca="false">B25*(1+Allgemein!$B$19)</f>
        <v>89.25</v>
      </c>
    </row>
    <row r="26" customFormat="false" ht="15" hidden="false" customHeight="false" outlineLevel="0" collapsed="false">
      <c r="A26" s="8" t="s">
        <v>366</v>
      </c>
      <c r="B26" s="12" t="n">
        <v>1.25</v>
      </c>
      <c r="C26" s="8" t="s">
        <v>276</v>
      </c>
      <c r="D26" s="6" t="n">
        <f aca="false">B26*Allgemein!$B$17</f>
        <v>85</v>
      </c>
      <c r="E26" s="6" t="n">
        <f aca="false">D26*(1+Allgemein!$B$19)</f>
        <v>101.15</v>
      </c>
    </row>
    <row r="27" customFormat="false" ht="15" hidden="false" customHeight="false" outlineLevel="0" collapsed="false">
      <c r="A27" s="8" t="s">
        <v>367</v>
      </c>
      <c r="B27" s="9" t="n">
        <v>65</v>
      </c>
      <c r="C27" s="8" t="s">
        <v>40</v>
      </c>
      <c r="E27" s="6" t="n">
        <f aca="false">B27*(1+Allgemein!$B$19)</f>
        <v>77.35</v>
      </c>
    </row>
    <row r="28" customFormat="false" ht="15" hidden="false" customHeight="false" outlineLevel="0" collapsed="false">
      <c r="A28" s="8" t="s">
        <v>368</v>
      </c>
      <c r="B28" s="12" t="n">
        <v>0.75</v>
      </c>
      <c r="C28" s="8" t="s">
        <v>276</v>
      </c>
      <c r="D28" s="6" t="n">
        <f aca="false">B28*Allgemein!$B$17</f>
        <v>51</v>
      </c>
      <c r="E28" s="6" t="n">
        <f aca="false">D28*(1+Allgemein!$B$19)</f>
        <v>60.69</v>
      </c>
    </row>
    <row r="29" customFormat="false" ht="15" hidden="false" customHeight="false" outlineLevel="0" collapsed="false">
      <c r="A29" s="8" t="s">
        <v>369</v>
      </c>
      <c r="B29" s="9" t="n">
        <v>70</v>
      </c>
      <c r="C29" s="8" t="s">
        <v>40</v>
      </c>
      <c r="E29" s="6" t="n">
        <f aca="false">B29*(1+Allgemein!$B$19)</f>
        <v>83.3</v>
      </c>
    </row>
    <row r="30" customFormat="false" ht="15" hidden="false" customHeight="false" outlineLevel="0" collapsed="false">
      <c r="A30" s="8" t="s">
        <v>370</v>
      </c>
      <c r="B30" s="12" t="n">
        <v>1.25</v>
      </c>
      <c r="C30" s="8" t="s">
        <v>276</v>
      </c>
      <c r="D30" s="6" t="n">
        <f aca="false">B30*Allgemein!$B$17</f>
        <v>85</v>
      </c>
      <c r="E30" s="6" t="n">
        <f aca="false">D30*(1+Allgemein!$B$19)</f>
        <v>101.15</v>
      </c>
    </row>
    <row r="31" customFormat="false" ht="15" hidden="false" customHeight="false" outlineLevel="0" collapsed="false">
      <c r="A31" s="8" t="s">
        <v>371</v>
      </c>
      <c r="B31" s="9" t="n">
        <v>450</v>
      </c>
      <c r="C31" s="8" t="s">
        <v>40</v>
      </c>
      <c r="E31" s="6" t="n">
        <f aca="false">B31*(1+Allgemein!$B$19)</f>
        <v>535.5</v>
      </c>
    </row>
    <row r="32" customFormat="false" ht="15" hidden="false" customHeight="false" outlineLevel="0" collapsed="false">
      <c r="A32" s="8" t="s">
        <v>372</v>
      </c>
      <c r="B32" s="12" t="n">
        <v>4</v>
      </c>
      <c r="C32" s="8" t="s">
        <v>276</v>
      </c>
      <c r="D32" s="6" t="n">
        <f aca="false">B32*Allgemein!$B$17</f>
        <v>272</v>
      </c>
      <c r="E32" s="6" t="n">
        <f aca="false">D32*(1+Allgemein!$B$19)</f>
        <v>323.68</v>
      </c>
    </row>
    <row r="34" customFormat="false" ht="15" hidden="false" customHeight="false" outlineLevel="0" collapsed="false">
      <c r="A34" s="3" t="s">
        <v>375</v>
      </c>
    </row>
    <row r="35" customFormat="false" ht="15" hidden="false" customHeight="false" outlineLevel="0" collapsed="false">
      <c r="A35" s="7" t="s">
        <v>32</v>
      </c>
      <c r="B35" s="7" t="s">
        <v>33</v>
      </c>
      <c r="C35" s="7" t="s">
        <v>34</v>
      </c>
      <c r="D35" s="7" t="s">
        <v>35</v>
      </c>
      <c r="E35" s="7" t="s">
        <v>36</v>
      </c>
    </row>
    <row r="36" customFormat="false" ht="15" hidden="false" customHeight="false" outlineLevel="0" collapsed="false">
      <c r="A36" s="8" t="s">
        <v>361</v>
      </c>
      <c r="B36" s="5" t="s">
        <v>376</v>
      </c>
      <c r="C36" s="8"/>
    </row>
    <row r="37" customFormat="false" ht="15" hidden="false" customHeight="false" outlineLevel="0" collapsed="false">
      <c r="A37" s="8" t="s">
        <v>363</v>
      </c>
      <c r="B37" s="9" t="n">
        <v>1300</v>
      </c>
      <c r="C37" s="8" t="s">
        <v>40</v>
      </c>
      <c r="E37" s="6" t="n">
        <f aca="false">B37*(1+Allgemein!$B$19)</f>
        <v>1547</v>
      </c>
    </row>
    <row r="38" customFormat="false" ht="15" hidden="false" customHeight="false" outlineLevel="0" collapsed="false">
      <c r="A38" s="8" t="s">
        <v>364</v>
      </c>
      <c r="B38" s="12" t="n">
        <v>14</v>
      </c>
      <c r="C38" s="8" t="s">
        <v>276</v>
      </c>
      <c r="D38" s="6" t="n">
        <f aca="false">B38*Allgemein!$B$17</f>
        <v>952</v>
      </c>
      <c r="E38" s="6" t="n">
        <f aca="false">D38*(1+Allgemein!$B$19)</f>
        <v>1132.88</v>
      </c>
    </row>
    <row r="39" customFormat="false" ht="15" hidden="false" customHeight="false" outlineLevel="0" collapsed="false">
      <c r="A39" s="8" t="s">
        <v>365</v>
      </c>
      <c r="B39" s="9" t="n">
        <v>180</v>
      </c>
      <c r="C39" s="8" t="s">
        <v>40</v>
      </c>
      <c r="E39" s="6" t="n">
        <f aca="false">B39*(1+Allgemein!$B$19)</f>
        <v>214.2</v>
      </c>
    </row>
    <row r="40" customFormat="false" ht="15" hidden="false" customHeight="false" outlineLevel="0" collapsed="false">
      <c r="A40" s="8" t="s">
        <v>366</v>
      </c>
      <c r="B40" s="12" t="n">
        <v>2</v>
      </c>
      <c r="C40" s="8" t="s">
        <v>276</v>
      </c>
      <c r="D40" s="6" t="n">
        <f aca="false">B40*Allgemein!$B$17</f>
        <v>136</v>
      </c>
      <c r="E40" s="6" t="n">
        <f aca="false">D40*(1+Allgemein!$B$19)</f>
        <v>161.84</v>
      </c>
    </row>
    <row r="41" customFormat="false" ht="15" hidden="false" customHeight="false" outlineLevel="0" collapsed="false">
      <c r="A41" s="8" t="s">
        <v>367</v>
      </c>
      <c r="B41" s="9" t="n">
        <v>140</v>
      </c>
      <c r="C41" s="8" t="s">
        <v>40</v>
      </c>
      <c r="E41" s="6" t="n">
        <f aca="false">B41*(1+Allgemein!$B$19)</f>
        <v>166.6</v>
      </c>
    </row>
    <row r="42" customFormat="false" ht="15" hidden="false" customHeight="false" outlineLevel="0" collapsed="false">
      <c r="A42" s="8" t="s">
        <v>368</v>
      </c>
      <c r="B42" s="12" t="n">
        <v>1.5</v>
      </c>
      <c r="C42" s="8" t="s">
        <v>276</v>
      </c>
      <c r="D42" s="6" t="n">
        <f aca="false">B42*Allgemein!$B$17</f>
        <v>102</v>
      </c>
      <c r="E42" s="6" t="n">
        <f aca="false">D42*(1+Allgemein!$B$19)</f>
        <v>121.38</v>
      </c>
    </row>
    <row r="43" customFormat="false" ht="15" hidden="false" customHeight="false" outlineLevel="0" collapsed="false">
      <c r="A43" s="8" t="s">
        <v>369</v>
      </c>
      <c r="B43" s="9" t="n">
        <v>150</v>
      </c>
      <c r="C43" s="8" t="s">
        <v>40</v>
      </c>
      <c r="E43" s="6" t="n">
        <f aca="false">B43*(1+Allgemein!$B$19)</f>
        <v>178.5</v>
      </c>
    </row>
    <row r="44" customFormat="false" ht="15" hidden="false" customHeight="false" outlineLevel="0" collapsed="false">
      <c r="A44" s="8" t="s">
        <v>370</v>
      </c>
      <c r="B44" s="12" t="n">
        <v>1.75</v>
      </c>
      <c r="C44" s="8" t="s">
        <v>276</v>
      </c>
      <c r="D44" s="6" t="n">
        <f aca="false">B44*Allgemein!$B$17</f>
        <v>119</v>
      </c>
      <c r="E44" s="6" t="n">
        <f aca="false">D44*(1+Allgemein!$B$19)</f>
        <v>141.61</v>
      </c>
    </row>
    <row r="45" customFormat="false" ht="15" hidden="false" customHeight="false" outlineLevel="0" collapsed="false">
      <c r="A45" s="8" t="s">
        <v>371</v>
      </c>
      <c r="B45" s="9" t="n">
        <v>700</v>
      </c>
      <c r="C45" s="8" t="s">
        <v>40</v>
      </c>
      <c r="E45" s="6" t="n">
        <f aca="false">B45*(1+Allgemein!$B$19)</f>
        <v>833</v>
      </c>
    </row>
    <row r="46" customFormat="false" ht="15" hidden="false" customHeight="false" outlineLevel="0" collapsed="false">
      <c r="A46" s="8" t="s">
        <v>372</v>
      </c>
      <c r="B46" s="12" t="n">
        <v>7</v>
      </c>
      <c r="C46" s="8" t="s">
        <v>276</v>
      </c>
      <c r="D46" s="6" t="n">
        <f aca="false">B46*Allgemein!$B$17</f>
        <v>476</v>
      </c>
      <c r="E46" s="6" t="n">
        <f aca="false">D46*(1+Allgemein!$B$19)</f>
        <v>566.44</v>
      </c>
    </row>
  </sheetData>
  <dataValidations count="1">
    <dataValidation allowBlank="true" errorStyle="stop" operator="between" showDropDown="false" showErrorMessage="true" showInputMessage="false" sqref="B4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377</v>
      </c>
    </row>
    <row r="2" customFormat="false" ht="15" hidden="false" customHeight="false" outlineLevel="0" collapsed="false">
      <c r="A2" s="2" t="s">
        <v>378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379</v>
      </c>
    </row>
    <row r="7" customFormat="false" ht="15" hidden="false" customHeight="false" outlineLevel="0" collapsed="false">
      <c r="A7" s="2" t="s">
        <v>380</v>
      </c>
    </row>
    <row r="8" customFormat="false" ht="15" hidden="false" customHeight="false" outlineLevel="0" collapsed="false">
      <c r="A8" s="7" t="s">
        <v>56</v>
      </c>
      <c r="B8" s="7" t="s">
        <v>381</v>
      </c>
    </row>
    <row r="9" customFormat="false" ht="15" hidden="false" customHeight="false" outlineLevel="0" collapsed="false">
      <c r="A9" s="5" t="s">
        <v>24</v>
      </c>
      <c r="B9" s="5" t="s">
        <v>382</v>
      </c>
    </row>
    <row r="10" customFormat="false" ht="15" hidden="false" customHeight="false" outlineLevel="0" collapsed="false">
      <c r="A10" s="5" t="s">
        <v>24</v>
      </c>
      <c r="B10" s="5" t="s">
        <v>383</v>
      </c>
    </row>
    <row r="11" customFormat="false" ht="15" hidden="false" customHeight="false" outlineLevel="0" collapsed="false">
      <c r="A11" s="5" t="s">
        <v>24</v>
      </c>
      <c r="B11" s="5" t="s">
        <v>384</v>
      </c>
    </row>
    <row r="12" customFormat="false" ht="15" hidden="false" customHeight="false" outlineLevel="0" collapsed="false">
      <c r="A12" s="5"/>
      <c r="B12" s="5"/>
    </row>
    <row r="13" customFormat="false" ht="15" hidden="false" customHeight="false" outlineLevel="0" collapsed="false">
      <c r="A13" s="5"/>
      <c r="B13" s="5"/>
    </row>
    <row r="14" customFormat="false" ht="15" hidden="false" customHeight="false" outlineLevel="0" collapsed="false">
      <c r="A14" s="5"/>
      <c r="B14" s="5"/>
    </row>
    <row r="15" customFormat="false" ht="15" hidden="false" customHeight="false" outlineLevel="0" collapsed="false">
      <c r="A15" s="5"/>
      <c r="B15" s="5"/>
    </row>
    <row r="16" customFormat="false" ht="15" hidden="false" customHeight="false" outlineLevel="0" collapsed="false">
      <c r="A16" s="5"/>
      <c r="B16" s="5"/>
    </row>
    <row r="17" customFormat="false" ht="15" hidden="false" customHeight="false" outlineLevel="0" collapsed="false">
      <c r="A17" s="2" t="s">
        <v>165</v>
      </c>
    </row>
    <row r="19" customFormat="false" ht="15" hidden="false" customHeight="false" outlineLevel="0" collapsed="false">
      <c r="A19" s="3" t="s">
        <v>385</v>
      </c>
    </row>
    <row r="20" customFormat="false" ht="15" hidden="false" customHeight="false" outlineLevel="0" collapsed="false">
      <c r="A20" s="2" t="s">
        <v>386</v>
      </c>
    </row>
    <row r="21" customFormat="false" ht="35.05" hidden="false" customHeight="false" outlineLevel="0" collapsed="false">
      <c r="A21" s="7" t="s">
        <v>56</v>
      </c>
      <c r="B21" s="7" t="s">
        <v>57</v>
      </c>
      <c r="C21" s="7" t="s">
        <v>387</v>
      </c>
      <c r="D21" s="7" t="s">
        <v>58</v>
      </c>
      <c r="E21" s="7" t="s">
        <v>388</v>
      </c>
      <c r="F21" s="7" t="s">
        <v>71</v>
      </c>
      <c r="G21" s="7" t="s">
        <v>389</v>
      </c>
      <c r="H21" s="7" t="s">
        <v>390</v>
      </c>
      <c r="I21" s="7" t="s">
        <v>391</v>
      </c>
      <c r="J21" s="7" t="s">
        <v>69</v>
      </c>
      <c r="K21" s="7" t="s">
        <v>70</v>
      </c>
    </row>
    <row r="22" customFormat="false" ht="15" hidden="false" customHeight="false" outlineLevel="0" collapsed="false">
      <c r="A22" s="5" t="s">
        <v>24</v>
      </c>
      <c r="B22" s="5" t="s">
        <v>382</v>
      </c>
      <c r="C22" s="5" t="s">
        <v>392</v>
      </c>
      <c r="D22" s="5" t="s">
        <v>393</v>
      </c>
      <c r="E22" s="5" t="s">
        <v>394</v>
      </c>
      <c r="F22" s="9" t="n">
        <v>599</v>
      </c>
      <c r="G22" s="9" t="n">
        <v>49</v>
      </c>
      <c r="H22" s="5" t="s">
        <v>395</v>
      </c>
      <c r="I22" s="5" t="s">
        <v>396</v>
      </c>
      <c r="J22" s="5"/>
      <c r="K22" s="5"/>
    </row>
    <row r="23" customFormat="false" ht="15" hidden="false" customHeight="false" outlineLevel="0" collapsed="false">
      <c r="A23" s="5" t="s">
        <v>24</v>
      </c>
      <c r="B23" s="5" t="s">
        <v>382</v>
      </c>
      <c r="C23" s="5" t="s">
        <v>392</v>
      </c>
      <c r="D23" s="5" t="s">
        <v>397</v>
      </c>
      <c r="E23" s="5" t="s">
        <v>394</v>
      </c>
      <c r="F23" s="9" t="n">
        <v>799</v>
      </c>
      <c r="G23" s="9" t="n">
        <v>49</v>
      </c>
      <c r="H23" s="5" t="s">
        <v>395</v>
      </c>
      <c r="I23" s="5" t="s">
        <v>396</v>
      </c>
      <c r="J23" s="5"/>
      <c r="K23" s="5"/>
    </row>
    <row r="24" customFormat="false" ht="15" hidden="false" customHeight="false" outlineLevel="0" collapsed="false">
      <c r="A24" s="5" t="s">
        <v>24</v>
      </c>
      <c r="B24" s="5" t="s">
        <v>382</v>
      </c>
      <c r="C24" s="5" t="s">
        <v>398</v>
      </c>
      <c r="D24" s="5" t="s">
        <v>399</v>
      </c>
      <c r="E24" s="5" t="s">
        <v>394</v>
      </c>
      <c r="F24" s="9" t="n">
        <v>849</v>
      </c>
      <c r="G24" s="9" t="n">
        <v>39</v>
      </c>
      <c r="H24" s="5" t="s">
        <v>90</v>
      </c>
      <c r="I24" s="5" t="s">
        <v>400</v>
      </c>
      <c r="J24" s="5"/>
      <c r="K24" s="5"/>
    </row>
    <row r="25" customFormat="false" ht="15" hidden="false" customHeight="false" outlineLevel="0" collapsed="false">
      <c r="A25" s="5" t="s">
        <v>24</v>
      </c>
      <c r="B25" s="5" t="s">
        <v>382</v>
      </c>
      <c r="C25" s="5" t="s">
        <v>401</v>
      </c>
      <c r="D25" s="5" t="s">
        <v>402</v>
      </c>
      <c r="E25" s="5" t="s">
        <v>394</v>
      </c>
      <c r="F25" s="9" t="n">
        <v>649</v>
      </c>
      <c r="G25" s="9" t="n">
        <v>149</v>
      </c>
      <c r="H25" s="5" t="s">
        <v>403</v>
      </c>
      <c r="I25" s="5" t="s">
        <v>396</v>
      </c>
      <c r="J25" s="5"/>
      <c r="K25" s="5"/>
    </row>
    <row r="26" customFormat="false" ht="15" hidden="false" customHeight="false" outlineLevel="0" collapsed="false">
      <c r="A26" s="5" t="s">
        <v>24</v>
      </c>
      <c r="B26" s="5" t="s">
        <v>382</v>
      </c>
      <c r="C26" s="5" t="s">
        <v>404</v>
      </c>
      <c r="D26" s="5" t="s">
        <v>405</v>
      </c>
      <c r="E26" s="5" t="s">
        <v>394</v>
      </c>
      <c r="F26" s="9" t="n">
        <v>699</v>
      </c>
      <c r="G26" s="9" t="n">
        <v>129</v>
      </c>
      <c r="H26" s="5" t="s">
        <v>84</v>
      </c>
      <c r="I26" s="5" t="s">
        <v>400</v>
      </c>
      <c r="J26" s="5"/>
      <c r="K26" s="5"/>
    </row>
    <row r="27" customFormat="false" ht="15" hidden="false" customHeight="false" outlineLevel="0" collapsed="false">
      <c r="A27" s="5" t="s">
        <v>24</v>
      </c>
      <c r="B27" s="5" t="s">
        <v>382</v>
      </c>
      <c r="C27" s="5" t="s">
        <v>406</v>
      </c>
      <c r="D27" s="5" t="s">
        <v>407</v>
      </c>
      <c r="E27" s="5" t="s">
        <v>394</v>
      </c>
      <c r="F27" s="9" t="n">
        <v>749</v>
      </c>
      <c r="G27" s="9" t="n">
        <v>39</v>
      </c>
      <c r="H27" s="5" t="s">
        <v>403</v>
      </c>
      <c r="I27" s="5" t="s">
        <v>396</v>
      </c>
      <c r="J27" s="5"/>
      <c r="K27" s="5"/>
    </row>
    <row r="28" customFormat="false" ht="15" hidden="false" customHeight="false" outlineLevel="0" collapsed="false">
      <c r="A28" s="5" t="s">
        <v>24</v>
      </c>
      <c r="B28" s="5" t="s">
        <v>383</v>
      </c>
      <c r="C28" s="5" t="s">
        <v>392</v>
      </c>
      <c r="D28" s="5" t="s">
        <v>408</v>
      </c>
      <c r="E28" s="5" t="s">
        <v>394</v>
      </c>
      <c r="F28" s="9" t="n">
        <v>1199</v>
      </c>
      <c r="G28" s="9" t="n">
        <v>49</v>
      </c>
      <c r="H28" s="5" t="s">
        <v>395</v>
      </c>
      <c r="I28" s="5" t="s">
        <v>396</v>
      </c>
      <c r="J28" s="5"/>
      <c r="K28" s="5"/>
    </row>
    <row r="29" customFormat="false" ht="15" hidden="false" customHeight="false" outlineLevel="0" collapsed="false">
      <c r="A29" s="5" t="s">
        <v>24</v>
      </c>
      <c r="B29" s="5" t="s">
        <v>384</v>
      </c>
      <c r="C29" s="5" t="s">
        <v>406</v>
      </c>
      <c r="D29" s="5" t="s">
        <v>409</v>
      </c>
      <c r="E29" s="5" t="s">
        <v>394</v>
      </c>
      <c r="F29" s="9" t="n">
        <v>999</v>
      </c>
      <c r="G29" s="9" t="n">
        <v>39</v>
      </c>
      <c r="H29" s="5" t="s">
        <v>403</v>
      </c>
      <c r="I29" s="5" t="s">
        <v>396</v>
      </c>
      <c r="J29" s="5"/>
      <c r="K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9"/>
      <c r="G30" s="9"/>
      <c r="H30" s="5"/>
      <c r="I30" s="5"/>
      <c r="J30" s="5"/>
      <c r="K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9"/>
      <c r="G31" s="9"/>
      <c r="H31" s="5"/>
      <c r="I31" s="5"/>
      <c r="J31" s="5"/>
      <c r="K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9"/>
      <c r="G32" s="9"/>
      <c r="H32" s="5"/>
      <c r="I32" s="5"/>
      <c r="J32" s="5"/>
      <c r="K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9"/>
      <c r="G33" s="9"/>
      <c r="H33" s="5"/>
      <c r="I33" s="5"/>
      <c r="J33" s="5"/>
      <c r="K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9"/>
      <c r="G34" s="9"/>
      <c r="H34" s="5"/>
      <c r="I34" s="5"/>
      <c r="J34" s="5"/>
      <c r="K34" s="5"/>
    </row>
    <row r="35" customFormat="false" ht="15" hidden="false" customHeight="false" outlineLevel="0" collapsed="false">
      <c r="A35" s="2" t="s">
        <v>165</v>
      </c>
    </row>
    <row r="37" customFormat="false" ht="15" hidden="false" customHeight="false" outlineLevel="0" collapsed="false">
      <c r="A37" s="3" t="s">
        <v>410</v>
      </c>
    </row>
    <row r="38" customFormat="false" ht="15" hidden="false" customHeight="false" outlineLevel="0" collapsed="false">
      <c r="A38" s="7" t="s">
        <v>32</v>
      </c>
      <c r="B38" s="7" t="s">
        <v>33</v>
      </c>
      <c r="C38" s="7" t="s">
        <v>34</v>
      </c>
      <c r="D38" s="7" t="s">
        <v>35</v>
      </c>
      <c r="E38" s="7" t="s">
        <v>36</v>
      </c>
    </row>
    <row r="39" customFormat="false" ht="15" hidden="false" customHeight="false" outlineLevel="0" collapsed="false">
      <c r="A39" s="8" t="s">
        <v>411</v>
      </c>
      <c r="B39" s="9" t="n">
        <v>39</v>
      </c>
      <c r="C39" s="8" t="s">
        <v>40</v>
      </c>
    </row>
    <row r="40" customFormat="false" ht="15" hidden="false" customHeight="false" outlineLevel="0" collapsed="false">
      <c r="A40" s="8" t="s">
        <v>412</v>
      </c>
      <c r="B40" s="9" t="n">
        <v>25</v>
      </c>
      <c r="C40" s="8" t="s">
        <v>40</v>
      </c>
    </row>
    <row r="41" customFormat="false" ht="15" hidden="false" customHeight="false" outlineLevel="0" collapsed="false">
      <c r="A41" s="8" t="s">
        <v>413</v>
      </c>
      <c r="B41" s="5" t="s">
        <v>414</v>
      </c>
      <c r="C41" s="8"/>
    </row>
    <row r="42" customFormat="false" ht="15" hidden="false" customHeight="false" outlineLevel="0" collapsed="false">
      <c r="A42" s="8" t="s">
        <v>415</v>
      </c>
      <c r="B42" s="5" t="s">
        <v>416</v>
      </c>
      <c r="C42" s="8"/>
    </row>
    <row r="43" customFormat="false" ht="15" hidden="false" customHeight="false" outlineLevel="0" collapsed="false">
      <c r="A43" s="8" t="s">
        <v>417</v>
      </c>
      <c r="B43" s="5" t="s">
        <v>418</v>
      </c>
      <c r="C43" s="8"/>
    </row>
  </sheetData>
  <dataValidations count="6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6" type="list">
      <formula1>"Ja,Nein"</formula1>
      <formula2>0</formula2>
    </dataValidation>
    <dataValidation allowBlank="true" errorStyle="stop" operator="between" showDropDown="false" showErrorMessage="true" showInputMessage="false" sqref="A22:A34" type="list">
      <formula1>"Ja,Nein"</formula1>
      <formula2>0</formula2>
    </dataValidation>
    <dataValidation allowBlank="true" errorStyle="stop" operator="between" showDropDown="false" showErrorMessage="true" showInputMessage="false" sqref="B22:B34" type="list">
      <formula1>"Siemens Hausgeräte,Miele,Liebherr"</formula1>
      <formula2>0</formula2>
    </dataValidation>
    <dataValidation allowBlank="true" errorStyle="stop" operator="between" showDropDown="false" showErrorMessage="true" showInputMessage="false" sqref="H22:H34" type="list">
      <formula1>"–,A+++,A++,A+,A,B,C,D,E,F,G"</formula1>
      <formula2>0</formula2>
    </dataValidation>
    <dataValidation allowBlank="true" errorStyle="stop" operator="between" showDropDown="false" showErrorMessage="true" showInputMessage="false" sqref="I22:I34" type="list">
      <formula1>"A–G (nuova),A+++–D"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419</v>
      </c>
    </row>
    <row r="7" customFormat="false" ht="15" hidden="false" customHeight="false" outlineLevel="0" collapsed="false">
      <c r="A7" s="7" t="s">
        <v>32</v>
      </c>
      <c r="B7" s="7" t="s">
        <v>33</v>
      </c>
      <c r="C7" s="7" t="s">
        <v>34</v>
      </c>
      <c r="D7" s="7" t="s">
        <v>35</v>
      </c>
      <c r="E7" s="7" t="s">
        <v>36</v>
      </c>
    </row>
    <row r="8" customFormat="false" ht="15" hidden="false" customHeight="false" outlineLevel="0" collapsed="false">
      <c r="A8" s="8" t="s">
        <v>420</v>
      </c>
      <c r="B8" s="9" t="n">
        <v>42</v>
      </c>
      <c r="C8" s="8" t="s">
        <v>40</v>
      </c>
      <c r="E8" s="6" t="n">
        <f aca="false">B8*(1+Allgemein!$B$19)</f>
        <v>49.98</v>
      </c>
    </row>
    <row r="9" customFormat="false" ht="15" hidden="false" customHeight="false" outlineLevel="0" collapsed="false">
      <c r="A9" s="8" t="s">
        <v>421</v>
      </c>
      <c r="B9" s="12" t="n">
        <v>0.75</v>
      </c>
      <c r="C9" s="8" t="s">
        <v>276</v>
      </c>
      <c r="D9" s="6" t="n">
        <f aca="false">B9*Allgemein!$B$17</f>
        <v>51</v>
      </c>
      <c r="E9" s="6" t="n">
        <f aca="false">D9*(1+Allgemein!$B$19)</f>
        <v>60.69</v>
      </c>
    </row>
    <row r="10" customFormat="false" ht="15" hidden="false" customHeight="false" outlineLevel="0" collapsed="false">
      <c r="A10" s="8" t="s">
        <v>422</v>
      </c>
      <c r="B10" s="9" t="n">
        <v>52</v>
      </c>
      <c r="C10" s="8" t="s">
        <v>40</v>
      </c>
      <c r="E10" s="6" t="n">
        <f aca="false">B10*(1+Allgemein!$B$19)</f>
        <v>61.88</v>
      </c>
    </row>
    <row r="11" customFormat="false" ht="15" hidden="false" customHeight="false" outlineLevel="0" collapsed="false">
      <c r="A11" s="8" t="s">
        <v>423</v>
      </c>
      <c r="B11" s="12" t="n">
        <v>1.2</v>
      </c>
      <c r="C11" s="8" t="s">
        <v>276</v>
      </c>
      <c r="D11" s="6" t="n">
        <f aca="false">B11*Allgemein!$B$17</f>
        <v>81.6</v>
      </c>
      <c r="E11" s="6" t="n">
        <f aca="false">D11*(1+Allgemein!$B$19)</f>
        <v>97.104</v>
      </c>
    </row>
    <row r="12" customFormat="false" ht="15" hidden="false" customHeight="false" outlineLevel="0" collapsed="false">
      <c r="A12" s="8" t="s">
        <v>424</v>
      </c>
      <c r="B12" s="9" t="n">
        <v>30</v>
      </c>
      <c r="C12" s="8" t="s">
        <v>40</v>
      </c>
      <c r="E12" s="6" t="n">
        <f aca="false">B12*(1+Allgemein!$B$19)</f>
        <v>35.7</v>
      </c>
    </row>
    <row r="13" customFormat="false" ht="15" hidden="false" customHeight="false" outlineLevel="0" collapsed="false">
      <c r="A13" s="8" t="s">
        <v>425</v>
      </c>
      <c r="B13" s="12" t="n">
        <v>0.6</v>
      </c>
      <c r="C13" s="8" t="s">
        <v>276</v>
      </c>
      <c r="D13" s="6" t="n">
        <f aca="false">B13*Allgemein!$B$17</f>
        <v>40.8</v>
      </c>
      <c r="E13" s="6" t="n">
        <f aca="false">D13*(1+Allgemein!$B$19)</f>
        <v>48.552</v>
      </c>
    </row>
    <row r="15" customFormat="false" ht="15" hidden="false" customHeight="false" outlineLevel="0" collapsed="false">
      <c r="A15" s="3" t="s">
        <v>426</v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7" t="s">
        <v>35</v>
      </c>
      <c r="E16" s="7" t="s">
        <v>36</v>
      </c>
    </row>
    <row r="17" customFormat="false" ht="15" hidden="false" customHeight="false" outlineLevel="0" collapsed="false">
      <c r="A17" s="8" t="s">
        <v>427</v>
      </c>
      <c r="B17" s="9" t="n">
        <v>1650</v>
      </c>
      <c r="C17" s="8" t="s">
        <v>40</v>
      </c>
      <c r="E17" s="6" t="n">
        <f aca="false">B17*(1+Allgemein!$B$19)</f>
        <v>1963.5</v>
      </c>
    </row>
    <row r="18" customFormat="false" ht="15" hidden="false" customHeight="false" outlineLevel="0" collapsed="false">
      <c r="A18" s="8" t="s">
        <v>428</v>
      </c>
      <c r="B18" s="12" t="n">
        <v>18</v>
      </c>
      <c r="C18" s="8" t="s">
        <v>276</v>
      </c>
      <c r="D18" s="6" t="n">
        <f aca="false">B18*Allgemein!$B$17</f>
        <v>1224</v>
      </c>
      <c r="E18" s="6" t="n">
        <f aca="false">D18*(1+Allgemein!$B$19)</f>
        <v>1456.56</v>
      </c>
    </row>
    <row r="19" customFormat="false" ht="15" hidden="false" customHeight="false" outlineLevel="0" collapsed="false">
      <c r="A19" s="8" t="s">
        <v>429</v>
      </c>
      <c r="B19" s="9" t="n">
        <v>55</v>
      </c>
      <c r="C19" s="8" t="s">
        <v>40</v>
      </c>
      <c r="E19" s="6" t="n">
        <f aca="false">B19*(1+Allgemein!$B$19)</f>
        <v>65.45</v>
      </c>
    </row>
    <row r="20" customFormat="false" ht="15" hidden="false" customHeight="false" outlineLevel="0" collapsed="false">
      <c r="A20" s="8" t="s">
        <v>430</v>
      </c>
      <c r="B20" s="12" t="n">
        <v>1.4</v>
      </c>
      <c r="C20" s="8" t="s">
        <v>276</v>
      </c>
      <c r="D20" s="6" t="n">
        <f aca="false">B20*Allgemein!$B$17</f>
        <v>95.2</v>
      </c>
      <c r="E20" s="6" t="n">
        <f aca="false">D20*(1+Allgemein!$B$19)</f>
        <v>113.288</v>
      </c>
    </row>
    <row r="21" customFormat="false" ht="15" hidden="false" customHeight="false" outlineLevel="0" collapsed="false">
      <c r="A21" s="8" t="s">
        <v>431</v>
      </c>
      <c r="B21" s="9" t="n">
        <v>330</v>
      </c>
      <c r="C21" s="8" t="s">
        <v>40</v>
      </c>
      <c r="E21" s="6" t="n">
        <f aca="false">B21*(1+Allgemein!$B$19)</f>
        <v>392.7</v>
      </c>
    </row>
    <row r="22" customFormat="false" ht="15" hidden="false" customHeight="false" outlineLevel="0" collapsed="false">
      <c r="A22" s="8" t="s">
        <v>432</v>
      </c>
      <c r="B22" s="12" t="n">
        <v>2.5</v>
      </c>
      <c r="C22" s="8" t="s">
        <v>276</v>
      </c>
      <c r="D22" s="6" t="n">
        <f aca="false">B22*Allgemein!$B$17</f>
        <v>170</v>
      </c>
      <c r="E22" s="6" t="n">
        <f aca="false">D22*(1+Allgemein!$B$19)</f>
        <v>202.3</v>
      </c>
    </row>
    <row r="23" customFormat="false" ht="15" hidden="false" customHeight="false" outlineLevel="0" collapsed="false">
      <c r="A23" s="8" t="s">
        <v>433</v>
      </c>
      <c r="B23" s="9" t="n">
        <v>0</v>
      </c>
      <c r="C23" s="8" t="s">
        <v>40</v>
      </c>
      <c r="E23" s="6" t="n">
        <f aca="false">B23*(1+Allgemein!$B$19)</f>
        <v>0</v>
      </c>
    </row>
    <row r="24" customFormat="false" ht="15" hidden="false" customHeight="false" outlineLevel="0" collapsed="false">
      <c r="A24" s="8" t="s">
        <v>434</v>
      </c>
      <c r="B24" s="12" t="n">
        <v>2.75</v>
      </c>
      <c r="C24" s="8" t="s">
        <v>276</v>
      </c>
      <c r="D24" s="6" t="n">
        <f aca="false">B24*Allgemein!$B$17</f>
        <v>187</v>
      </c>
      <c r="E24" s="6" t="n">
        <f aca="false">D24*(1+Allgemein!$B$19)</f>
        <v>222.53</v>
      </c>
    </row>
    <row r="26" customFormat="false" ht="15" hidden="false" customHeight="false" outlineLevel="0" collapsed="false">
      <c r="A26" s="3" t="s">
        <v>435</v>
      </c>
    </row>
    <row r="27" customFormat="false" ht="15" hidden="false" customHeight="false" outlineLevel="0" collapsed="false">
      <c r="A27" s="2" t="s">
        <v>436</v>
      </c>
    </row>
    <row r="28" customFormat="false" ht="15" hidden="false" customHeight="false" outlineLevel="0" collapsed="false">
      <c r="A28" s="7" t="s">
        <v>56</v>
      </c>
      <c r="B28" s="7" t="s">
        <v>57</v>
      </c>
      <c r="C28" s="7" t="s">
        <v>58</v>
      </c>
      <c r="D28" s="7" t="s">
        <v>59</v>
      </c>
      <c r="E28" s="7" t="s">
        <v>62</v>
      </c>
      <c r="F28" s="7" t="s">
        <v>71</v>
      </c>
    </row>
    <row r="29" customFormat="false" ht="15" hidden="false" customHeight="false" outlineLevel="0" collapsed="false">
      <c r="A29" s="5" t="s">
        <v>24</v>
      </c>
      <c r="B29" s="5" t="s">
        <v>328</v>
      </c>
      <c r="C29" s="5" t="s">
        <v>437</v>
      </c>
      <c r="D29" s="12" t="n">
        <v>11</v>
      </c>
      <c r="E29" s="9" t="n">
        <v>890</v>
      </c>
      <c r="F29" s="6" t="n">
        <f aca="false">IF(E29="","",E29*(1+Allgemein!$B$19))</f>
        <v>1059.1</v>
      </c>
    </row>
    <row r="30" customFormat="false" ht="15" hidden="false" customHeight="false" outlineLevel="0" collapsed="false">
      <c r="A30" s="5" t="s">
        <v>24</v>
      </c>
      <c r="B30" s="5" t="s">
        <v>438</v>
      </c>
      <c r="C30" s="5" t="s">
        <v>439</v>
      </c>
      <c r="D30" s="12" t="n">
        <v>11</v>
      </c>
      <c r="E30" s="9" t="n">
        <v>720</v>
      </c>
      <c r="F30" s="6" t="n">
        <f aca="false">IF(E30="","",E30*(1+Allgemein!$B$19))</f>
        <v>856.8</v>
      </c>
    </row>
    <row r="31" customFormat="false" ht="15" hidden="false" customHeight="false" outlineLevel="0" collapsed="false">
      <c r="A31" s="5" t="s">
        <v>24</v>
      </c>
      <c r="B31" s="5" t="s">
        <v>440</v>
      </c>
      <c r="C31" s="5" t="s">
        <v>441</v>
      </c>
      <c r="D31" s="12" t="n">
        <v>11</v>
      </c>
      <c r="E31" s="9" t="n">
        <v>990</v>
      </c>
      <c r="F31" s="6" t="n">
        <f aca="false">IF(E31="","",E31*(1+Allgemein!$B$19))</f>
        <v>1178.1</v>
      </c>
    </row>
    <row r="32" customFormat="false" ht="15" hidden="false" customHeight="false" outlineLevel="0" collapsed="false">
      <c r="A32" s="5" t="s">
        <v>24</v>
      </c>
      <c r="B32" s="5" t="s">
        <v>442</v>
      </c>
      <c r="C32" s="5" t="s">
        <v>443</v>
      </c>
      <c r="D32" s="12" t="n">
        <v>11</v>
      </c>
      <c r="E32" s="9" t="n">
        <v>650</v>
      </c>
      <c r="F32" s="6" t="n">
        <f aca="false">IF(E32="","",E32*(1+Allgemein!$B$19))</f>
        <v>773.5</v>
      </c>
    </row>
    <row r="33" customFormat="false" ht="15" hidden="false" customHeight="false" outlineLevel="0" collapsed="false">
      <c r="A33" s="5"/>
      <c r="B33" s="5"/>
      <c r="C33" s="5"/>
      <c r="D33" s="12"/>
      <c r="E33" s="9"/>
      <c r="F33" s="6" t="str">
        <f aca="false">IF(E33="","",E33*(1+Allgemein!$B$19))</f>
        <v/>
      </c>
    </row>
    <row r="34" customFormat="false" ht="15" hidden="false" customHeight="false" outlineLevel="0" collapsed="false">
      <c r="A34" s="5"/>
      <c r="B34" s="5"/>
      <c r="C34" s="5"/>
      <c r="D34" s="12"/>
      <c r="E34" s="9"/>
      <c r="F34" s="6" t="str">
        <f aca="false">IF(E34="","",E34*(1+Allgemein!$B$19))</f>
        <v/>
      </c>
    </row>
    <row r="35" customFormat="false" ht="15" hidden="false" customHeight="false" outlineLevel="0" collapsed="false">
      <c r="A35" s="5"/>
      <c r="B35" s="5"/>
      <c r="C35" s="5"/>
      <c r="D35" s="12"/>
      <c r="E35" s="9"/>
      <c r="F35" s="6" t="str">
        <f aca="false">IF(E35="","",E35*(1+Allgemein!$B$19))</f>
        <v/>
      </c>
    </row>
    <row r="36" customFormat="false" ht="15" hidden="false" customHeight="false" outlineLevel="0" collapsed="false">
      <c r="A36" s="5"/>
      <c r="B36" s="5"/>
      <c r="C36" s="5"/>
      <c r="D36" s="12"/>
      <c r="E36" s="9"/>
      <c r="F36" s="6" t="str">
        <f aca="false">IF(E36="","",E36*(1+Allgemein!$B$19))</f>
        <v/>
      </c>
    </row>
    <row r="37" customFormat="false" ht="15" hidden="false" customHeight="false" outlineLevel="0" collapsed="false">
      <c r="A37" s="5"/>
      <c r="B37" s="5"/>
      <c r="C37" s="5"/>
      <c r="D37" s="12"/>
      <c r="E37" s="9"/>
      <c r="F37" s="6" t="str">
        <f aca="false">IF(E37="","",E37*(1+Allgemein!$B$19))</f>
        <v/>
      </c>
    </row>
    <row r="38" customFormat="false" ht="15" hidden="false" customHeight="false" outlineLevel="0" collapsed="false">
      <c r="A38" s="2" t="s">
        <v>165</v>
      </c>
    </row>
    <row r="40" customFormat="false" ht="15" hidden="false" customHeight="false" outlineLevel="0" collapsed="false">
      <c r="A40" s="3" t="s">
        <v>444</v>
      </c>
    </row>
    <row r="41" customFormat="false" ht="15" hidden="false" customHeight="false" outlineLevel="0" collapsed="false">
      <c r="A41" s="7" t="s">
        <v>32</v>
      </c>
      <c r="B41" s="7" t="s">
        <v>33</v>
      </c>
      <c r="C41" s="7" t="s">
        <v>34</v>
      </c>
      <c r="D41" s="7" t="s">
        <v>35</v>
      </c>
      <c r="E41" s="7" t="s">
        <v>36</v>
      </c>
    </row>
    <row r="42" customFormat="false" ht="15" hidden="false" customHeight="false" outlineLevel="0" collapsed="false">
      <c r="A42" s="8" t="s">
        <v>445</v>
      </c>
      <c r="B42" s="12" t="n">
        <v>7</v>
      </c>
      <c r="C42" s="8" t="s">
        <v>276</v>
      </c>
      <c r="D42" s="6" t="n">
        <f aca="false">B42*Allgemein!$B$17</f>
        <v>476</v>
      </c>
      <c r="E42" s="6" t="n">
        <f aca="false">D42*(1+Allgemein!$B$19)</f>
        <v>566.44</v>
      </c>
    </row>
  </sheetData>
  <dataValidations count="2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29:A37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4" t="s">
        <v>446</v>
      </c>
      <c r="B1" s="14" t="s">
        <v>17</v>
      </c>
      <c r="C1" s="14" t="s">
        <v>447</v>
      </c>
      <c r="D1" s="14" t="s">
        <v>448</v>
      </c>
    </row>
    <row r="2" customFormat="false" ht="15" hidden="false" customHeight="false" outlineLevel="0" collapsed="false">
      <c r="A2" s="14" t="s">
        <v>446</v>
      </c>
      <c r="B2" s="14" t="s">
        <v>17</v>
      </c>
      <c r="C2" s="14" t="s">
        <v>449</v>
      </c>
      <c r="D2" s="14" t="s">
        <v>450</v>
      </c>
    </row>
    <row r="3" customFormat="false" ht="15" hidden="false" customHeight="false" outlineLevel="0" collapsed="false">
      <c r="A3" s="14" t="s">
        <v>446</v>
      </c>
      <c r="B3" s="14" t="s">
        <v>17</v>
      </c>
      <c r="C3" s="14" t="s">
        <v>451</v>
      </c>
      <c r="D3" s="14" t="s">
        <v>452</v>
      </c>
    </row>
    <row r="4" customFormat="false" ht="15" hidden="false" customHeight="false" outlineLevel="0" collapsed="false">
      <c r="A4" s="14" t="s">
        <v>446</v>
      </c>
      <c r="B4" s="14" t="s">
        <v>17</v>
      </c>
      <c r="C4" s="14" t="s">
        <v>453</v>
      </c>
      <c r="D4" s="14" t="s">
        <v>454</v>
      </c>
    </row>
    <row r="5" customFormat="false" ht="15" hidden="false" customHeight="false" outlineLevel="0" collapsed="false">
      <c r="A5" s="14" t="s">
        <v>446</v>
      </c>
      <c r="B5" s="14" t="s">
        <v>17</v>
      </c>
      <c r="C5" s="14" t="s">
        <v>455</v>
      </c>
      <c r="D5" s="14" t="s">
        <v>456</v>
      </c>
    </row>
    <row r="6" customFormat="false" ht="15" hidden="false" customHeight="false" outlineLevel="0" collapsed="false">
      <c r="A6" s="14" t="s">
        <v>446</v>
      </c>
      <c r="B6" s="14" t="s">
        <v>17</v>
      </c>
      <c r="C6" s="14" t="s">
        <v>457</v>
      </c>
      <c r="D6" s="14" t="s">
        <v>458</v>
      </c>
    </row>
    <row r="7" customFormat="false" ht="15" hidden="false" customHeight="false" outlineLevel="0" collapsed="false">
      <c r="A7" s="14" t="s">
        <v>446</v>
      </c>
      <c r="B7" s="14" t="s">
        <v>17</v>
      </c>
      <c r="C7" s="14" t="s">
        <v>459</v>
      </c>
      <c r="D7" s="14" t="s">
        <v>460</v>
      </c>
    </row>
    <row r="8" customFormat="false" ht="15" hidden="false" customHeight="false" outlineLevel="0" collapsed="false">
      <c r="A8" s="14" t="s">
        <v>461</v>
      </c>
      <c r="B8" s="14" t="s">
        <v>17</v>
      </c>
      <c r="C8" s="14" t="s">
        <v>462</v>
      </c>
      <c r="D8" s="14" t="s">
        <v>463</v>
      </c>
      <c r="E8" s="14" t="s">
        <v>464</v>
      </c>
    </row>
    <row r="9" customFormat="false" ht="15" hidden="false" customHeight="false" outlineLevel="0" collapsed="false">
      <c r="A9" s="14" t="s">
        <v>461</v>
      </c>
      <c r="B9" s="14" t="s">
        <v>17</v>
      </c>
      <c r="C9" s="14" t="s">
        <v>465</v>
      </c>
      <c r="D9" s="14" t="s">
        <v>466</v>
      </c>
      <c r="E9" s="14" t="s">
        <v>464</v>
      </c>
    </row>
    <row r="10" customFormat="false" ht="15" hidden="false" customHeight="false" outlineLevel="0" collapsed="false">
      <c r="A10" s="14" t="s">
        <v>461</v>
      </c>
      <c r="B10" s="14" t="s">
        <v>17</v>
      </c>
      <c r="C10" s="14" t="s">
        <v>467</v>
      </c>
      <c r="D10" s="14" t="s">
        <v>468</v>
      </c>
      <c r="E10" s="14" t="s">
        <v>469</v>
      </c>
    </row>
    <row r="11" customFormat="false" ht="15" hidden="false" customHeight="false" outlineLevel="0" collapsed="false">
      <c r="A11" s="14" t="s">
        <v>461</v>
      </c>
      <c r="B11" s="14" t="s">
        <v>17</v>
      </c>
      <c r="C11" s="14" t="s">
        <v>470</v>
      </c>
      <c r="D11" s="14" t="s">
        <v>471</v>
      </c>
      <c r="E11" s="14" t="s">
        <v>469</v>
      </c>
    </row>
    <row r="12" customFormat="false" ht="15" hidden="false" customHeight="false" outlineLevel="0" collapsed="false">
      <c r="A12" s="14" t="s">
        <v>461</v>
      </c>
      <c r="B12" s="14" t="s">
        <v>17</v>
      </c>
      <c r="C12" s="14" t="s">
        <v>472</v>
      </c>
      <c r="D12" s="14" t="s">
        <v>473</v>
      </c>
      <c r="E12" s="14" t="s">
        <v>464</v>
      </c>
    </row>
    <row r="13" customFormat="false" ht="15" hidden="false" customHeight="false" outlineLevel="0" collapsed="false">
      <c r="A13" s="14" t="s">
        <v>461</v>
      </c>
      <c r="B13" s="14" t="s">
        <v>17</v>
      </c>
      <c r="C13" s="14" t="s">
        <v>474</v>
      </c>
      <c r="D13" s="14" t="s">
        <v>475</v>
      </c>
      <c r="E13" s="14" t="s">
        <v>469</v>
      </c>
    </row>
    <row r="14" customFormat="false" ht="15" hidden="false" customHeight="false" outlineLevel="0" collapsed="false">
      <c r="A14" s="14" t="s">
        <v>461</v>
      </c>
      <c r="B14" s="14" t="s">
        <v>17</v>
      </c>
      <c r="C14" s="14" t="s">
        <v>476</v>
      </c>
      <c r="D14" s="14" t="s">
        <v>477</v>
      </c>
      <c r="E14" s="14" t="s">
        <v>469</v>
      </c>
    </row>
    <row r="15" customFormat="false" ht="15" hidden="false" customHeight="false" outlineLevel="0" collapsed="false">
      <c r="A15" s="14" t="s">
        <v>461</v>
      </c>
      <c r="B15" s="14" t="s">
        <v>17</v>
      </c>
      <c r="C15" s="14" t="s">
        <v>478</v>
      </c>
      <c r="D15" s="14" t="s">
        <v>479</v>
      </c>
      <c r="E15" s="14" t="s">
        <v>469</v>
      </c>
    </row>
    <row r="16" customFormat="false" ht="15" hidden="false" customHeight="false" outlineLevel="0" collapsed="false">
      <c r="A16" s="14" t="s">
        <v>461</v>
      </c>
      <c r="B16" s="14" t="s">
        <v>17</v>
      </c>
      <c r="C16" s="14" t="s">
        <v>480</v>
      </c>
      <c r="D16" s="14" t="s">
        <v>481</v>
      </c>
      <c r="E16" s="14" t="s">
        <v>469</v>
      </c>
    </row>
    <row r="17" customFormat="false" ht="15" hidden="false" customHeight="false" outlineLevel="0" collapsed="false">
      <c r="A17" s="14" t="s">
        <v>461</v>
      </c>
      <c r="B17" s="14" t="s">
        <v>17</v>
      </c>
      <c r="C17" s="14" t="s">
        <v>482</v>
      </c>
      <c r="D17" s="14" t="s">
        <v>483</v>
      </c>
      <c r="E17" s="14" t="s">
        <v>464</v>
      </c>
    </row>
    <row r="18" customFormat="false" ht="15" hidden="false" customHeight="false" outlineLevel="0" collapsed="false">
      <c r="A18" s="14" t="s">
        <v>446</v>
      </c>
      <c r="B18" s="14" t="s">
        <v>26</v>
      </c>
      <c r="C18" s="14" t="s">
        <v>484</v>
      </c>
      <c r="D18" s="14" t="s">
        <v>452</v>
      </c>
    </row>
    <row r="19" customFormat="false" ht="15" hidden="false" customHeight="false" outlineLevel="0" collapsed="false">
      <c r="A19" s="14" t="s">
        <v>485</v>
      </c>
      <c r="B19" s="14" t="s">
        <v>26</v>
      </c>
      <c r="C19" s="14" t="s">
        <v>486</v>
      </c>
      <c r="D19" s="14" t="s">
        <v>487</v>
      </c>
      <c r="E19" s="14" t="s">
        <v>488</v>
      </c>
    </row>
    <row r="20" customFormat="false" ht="15" hidden="false" customHeight="false" outlineLevel="0" collapsed="false">
      <c r="A20" s="14" t="s">
        <v>485</v>
      </c>
      <c r="B20" s="14" t="s">
        <v>26</v>
      </c>
      <c r="C20" s="14" t="s">
        <v>489</v>
      </c>
      <c r="D20" s="14" t="s">
        <v>490</v>
      </c>
      <c r="E20" s="14" t="s">
        <v>491</v>
      </c>
    </row>
    <row r="21" customFormat="false" ht="15" hidden="false" customHeight="false" outlineLevel="0" collapsed="false">
      <c r="A21" s="14" t="s">
        <v>485</v>
      </c>
      <c r="B21" s="14" t="s">
        <v>26</v>
      </c>
      <c r="C21" s="14" t="s">
        <v>492</v>
      </c>
      <c r="D21" s="14" t="s">
        <v>493</v>
      </c>
      <c r="E21" s="14" t="s">
        <v>494</v>
      </c>
    </row>
    <row r="22" customFormat="false" ht="15" hidden="false" customHeight="false" outlineLevel="0" collapsed="false">
      <c r="A22" s="14" t="s">
        <v>461</v>
      </c>
      <c r="B22" s="14" t="s">
        <v>26</v>
      </c>
      <c r="C22" s="14" t="s">
        <v>495</v>
      </c>
      <c r="D22" s="14" t="s">
        <v>496</v>
      </c>
      <c r="E22" s="14" t="s">
        <v>464</v>
      </c>
    </row>
    <row r="23" customFormat="false" ht="15" hidden="false" customHeight="false" outlineLevel="0" collapsed="false">
      <c r="A23" s="14" t="s">
        <v>461</v>
      </c>
      <c r="B23" s="14" t="s">
        <v>26</v>
      </c>
      <c r="C23" s="14" t="s">
        <v>497</v>
      </c>
      <c r="D23" s="14" t="s">
        <v>498</v>
      </c>
      <c r="E23" s="14" t="s">
        <v>464</v>
      </c>
    </row>
    <row r="24" customFormat="false" ht="15" hidden="false" customHeight="false" outlineLevel="0" collapsed="false">
      <c r="A24" s="14" t="s">
        <v>461</v>
      </c>
      <c r="B24" s="14" t="s">
        <v>26</v>
      </c>
      <c r="C24" s="14" t="s">
        <v>499</v>
      </c>
      <c r="D24" s="14" t="s">
        <v>500</v>
      </c>
      <c r="E24" s="14" t="s">
        <v>464</v>
      </c>
    </row>
    <row r="25" customFormat="false" ht="15" hidden="false" customHeight="false" outlineLevel="0" collapsed="false">
      <c r="A25" s="14" t="s">
        <v>461</v>
      </c>
      <c r="B25" s="14" t="s">
        <v>26</v>
      </c>
      <c r="C25" s="14" t="s">
        <v>501</v>
      </c>
      <c r="D25" s="14" t="s">
        <v>502</v>
      </c>
      <c r="E25" s="14" t="s">
        <v>464</v>
      </c>
    </row>
    <row r="26" customFormat="false" ht="15" hidden="false" customHeight="false" outlineLevel="0" collapsed="false">
      <c r="A26" s="14" t="s">
        <v>461</v>
      </c>
      <c r="B26" s="14" t="s">
        <v>26</v>
      </c>
      <c r="C26" s="14" t="s">
        <v>503</v>
      </c>
      <c r="D26" s="14" t="s">
        <v>504</v>
      </c>
      <c r="E26" s="14" t="s">
        <v>464</v>
      </c>
    </row>
    <row r="27" customFormat="false" ht="15" hidden="false" customHeight="false" outlineLevel="0" collapsed="false">
      <c r="A27" s="14" t="s">
        <v>461</v>
      </c>
      <c r="B27" s="14" t="s">
        <v>26</v>
      </c>
      <c r="C27" s="14" t="s">
        <v>505</v>
      </c>
      <c r="D27" s="14" t="s">
        <v>506</v>
      </c>
      <c r="E27" s="14" t="s">
        <v>464</v>
      </c>
    </row>
    <row r="28" customFormat="false" ht="15" hidden="false" customHeight="false" outlineLevel="0" collapsed="false">
      <c r="A28" s="14" t="s">
        <v>461</v>
      </c>
      <c r="B28" s="14" t="s">
        <v>26</v>
      </c>
      <c r="C28" s="14" t="s">
        <v>507</v>
      </c>
      <c r="D28" s="14" t="s">
        <v>508</v>
      </c>
      <c r="E28" s="14" t="s">
        <v>464</v>
      </c>
    </row>
    <row r="29" customFormat="false" ht="15" hidden="false" customHeight="false" outlineLevel="0" collapsed="false">
      <c r="A29" s="14" t="s">
        <v>461</v>
      </c>
      <c r="B29" s="14" t="s">
        <v>26</v>
      </c>
      <c r="C29" s="14" t="s">
        <v>509</v>
      </c>
      <c r="D29" s="14" t="s">
        <v>510</v>
      </c>
      <c r="E29" s="14" t="s">
        <v>464</v>
      </c>
    </row>
    <row r="30" customFormat="false" ht="15" hidden="false" customHeight="false" outlineLevel="0" collapsed="false">
      <c r="A30" s="14" t="s">
        <v>461</v>
      </c>
      <c r="B30" s="14" t="s">
        <v>26</v>
      </c>
      <c r="C30" s="14" t="s">
        <v>511</v>
      </c>
      <c r="D30" s="14" t="s">
        <v>512</v>
      </c>
      <c r="E30" s="14" t="s">
        <v>464</v>
      </c>
    </row>
    <row r="31" customFormat="false" ht="15" hidden="false" customHeight="false" outlineLevel="0" collapsed="false">
      <c r="A31" s="14" t="s">
        <v>461</v>
      </c>
      <c r="B31" s="14" t="s">
        <v>26</v>
      </c>
      <c r="C31" s="14" t="s">
        <v>513</v>
      </c>
      <c r="D31" s="14" t="s">
        <v>514</v>
      </c>
      <c r="E31" s="14" t="s">
        <v>464</v>
      </c>
    </row>
    <row r="32" customFormat="false" ht="15" hidden="false" customHeight="false" outlineLevel="0" collapsed="false">
      <c r="A32" s="14" t="s">
        <v>461</v>
      </c>
      <c r="B32" s="14" t="s">
        <v>26</v>
      </c>
      <c r="C32" s="14" t="s">
        <v>515</v>
      </c>
      <c r="D32" s="14" t="s">
        <v>516</v>
      </c>
      <c r="E32" s="14" t="s">
        <v>464</v>
      </c>
    </row>
    <row r="33" customFormat="false" ht="15" hidden="false" customHeight="false" outlineLevel="0" collapsed="false">
      <c r="A33" s="14" t="s">
        <v>461</v>
      </c>
      <c r="B33" s="14" t="s">
        <v>26</v>
      </c>
      <c r="C33" s="14" t="s">
        <v>517</v>
      </c>
      <c r="D33" s="14" t="s">
        <v>518</v>
      </c>
      <c r="E33" s="14" t="s">
        <v>464</v>
      </c>
    </row>
    <row r="34" customFormat="false" ht="15" hidden="false" customHeight="false" outlineLevel="0" collapsed="false">
      <c r="A34" s="14" t="s">
        <v>461</v>
      </c>
      <c r="B34" s="14" t="s">
        <v>26</v>
      </c>
      <c r="C34" s="14" t="s">
        <v>519</v>
      </c>
      <c r="D34" s="14" t="s">
        <v>520</v>
      </c>
      <c r="E34" s="14" t="s">
        <v>464</v>
      </c>
    </row>
    <row r="35" customFormat="false" ht="15" hidden="false" customHeight="false" outlineLevel="0" collapsed="false">
      <c r="A35" s="14" t="s">
        <v>461</v>
      </c>
      <c r="B35" s="14" t="s">
        <v>26</v>
      </c>
      <c r="C35" s="14" t="s">
        <v>521</v>
      </c>
      <c r="D35" s="14" t="s">
        <v>522</v>
      </c>
      <c r="E35" s="14" t="s">
        <v>464</v>
      </c>
    </row>
    <row r="36" customFormat="false" ht="15" hidden="false" customHeight="false" outlineLevel="0" collapsed="false">
      <c r="A36" s="14" t="s">
        <v>461</v>
      </c>
      <c r="B36" s="14" t="s">
        <v>26</v>
      </c>
      <c r="C36" s="14" t="s">
        <v>523</v>
      </c>
      <c r="D36" s="14" t="s">
        <v>524</v>
      </c>
      <c r="E36" s="14" t="s">
        <v>464</v>
      </c>
    </row>
    <row r="37" customFormat="false" ht="15" hidden="false" customHeight="false" outlineLevel="0" collapsed="false">
      <c r="A37" s="14" t="s">
        <v>461</v>
      </c>
      <c r="B37" s="14" t="s">
        <v>26</v>
      </c>
      <c r="C37" s="14" t="s">
        <v>525</v>
      </c>
      <c r="D37" s="14" t="s">
        <v>526</v>
      </c>
      <c r="E37" s="14" t="s">
        <v>464</v>
      </c>
    </row>
    <row r="38" customFormat="false" ht="15" hidden="false" customHeight="false" outlineLevel="0" collapsed="false">
      <c r="A38" s="14" t="s">
        <v>461</v>
      </c>
      <c r="B38" s="14" t="s">
        <v>26</v>
      </c>
      <c r="C38" s="14" t="s">
        <v>527</v>
      </c>
      <c r="D38" s="14" t="s">
        <v>528</v>
      </c>
      <c r="E38" s="14" t="s">
        <v>464</v>
      </c>
    </row>
    <row r="39" customFormat="false" ht="15" hidden="false" customHeight="false" outlineLevel="0" collapsed="false">
      <c r="A39" s="14" t="s">
        <v>461</v>
      </c>
      <c r="B39" s="14" t="s">
        <v>26</v>
      </c>
      <c r="C39" s="14" t="s">
        <v>529</v>
      </c>
      <c r="D39" s="14" t="s">
        <v>530</v>
      </c>
      <c r="E39" s="14" t="s">
        <v>464</v>
      </c>
    </row>
    <row r="40" customFormat="false" ht="15" hidden="false" customHeight="false" outlineLevel="0" collapsed="false">
      <c r="A40" s="14" t="s">
        <v>446</v>
      </c>
      <c r="B40" s="14" t="s">
        <v>23</v>
      </c>
      <c r="C40" s="14" t="s">
        <v>484</v>
      </c>
      <c r="D40" s="14" t="s">
        <v>448</v>
      </c>
    </row>
    <row r="41" customFormat="false" ht="15" hidden="false" customHeight="false" outlineLevel="0" collapsed="false">
      <c r="A41" s="14" t="s">
        <v>485</v>
      </c>
      <c r="B41" s="14" t="s">
        <v>23</v>
      </c>
      <c r="C41" s="14" t="s">
        <v>531</v>
      </c>
      <c r="D41" s="14" t="s">
        <v>532</v>
      </c>
      <c r="E41" s="14" t="s">
        <v>533</v>
      </c>
    </row>
    <row r="42" customFormat="false" ht="15" hidden="false" customHeight="false" outlineLevel="0" collapsed="false">
      <c r="A42" s="14" t="s">
        <v>461</v>
      </c>
      <c r="B42" s="14" t="s">
        <v>23</v>
      </c>
      <c r="C42" s="14" t="s">
        <v>534</v>
      </c>
      <c r="D42" s="14" t="s">
        <v>535</v>
      </c>
      <c r="E42" s="14" t="s">
        <v>464</v>
      </c>
    </row>
    <row r="43" customFormat="false" ht="15" hidden="false" customHeight="false" outlineLevel="0" collapsed="false">
      <c r="A43" s="14" t="s">
        <v>461</v>
      </c>
      <c r="B43" s="14" t="s">
        <v>23</v>
      </c>
      <c r="C43" s="14" t="s">
        <v>536</v>
      </c>
      <c r="D43" s="14" t="s">
        <v>537</v>
      </c>
      <c r="E43" s="14" t="s">
        <v>464</v>
      </c>
    </row>
    <row r="44" customFormat="false" ht="15" hidden="false" customHeight="false" outlineLevel="0" collapsed="false">
      <c r="A44" s="14" t="s">
        <v>461</v>
      </c>
      <c r="B44" s="14" t="s">
        <v>23</v>
      </c>
      <c r="C44" s="14" t="s">
        <v>538</v>
      </c>
      <c r="D44" s="14" t="s">
        <v>539</v>
      </c>
      <c r="E44" s="14" t="s">
        <v>464</v>
      </c>
    </row>
    <row r="45" customFormat="false" ht="15" hidden="false" customHeight="false" outlineLevel="0" collapsed="false">
      <c r="A45" s="14" t="s">
        <v>461</v>
      </c>
      <c r="B45" s="14" t="s">
        <v>23</v>
      </c>
      <c r="C45" s="14" t="s">
        <v>474</v>
      </c>
      <c r="D45" s="14" t="s">
        <v>540</v>
      </c>
      <c r="E45" s="14" t="s">
        <v>464</v>
      </c>
    </row>
    <row r="46" customFormat="false" ht="15" hidden="false" customHeight="false" outlineLevel="0" collapsed="false">
      <c r="A46" s="14" t="s">
        <v>461</v>
      </c>
      <c r="B46" s="14" t="s">
        <v>23</v>
      </c>
      <c r="C46" s="14" t="s">
        <v>476</v>
      </c>
      <c r="D46" s="14" t="s">
        <v>541</v>
      </c>
      <c r="E46" s="14" t="s">
        <v>464</v>
      </c>
    </row>
    <row r="47" customFormat="false" ht="15" hidden="false" customHeight="false" outlineLevel="0" collapsed="false">
      <c r="A47" s="14" t="s">
        <v>461</v>
      </c>
      <c r="B47" s="14" t="s">
        <v>23</v>
      </c>
      <c r="C47" s="14" t="s">
        <v>478</v>
      </c>
      <c r="D47" s="14" t="s">
        <v>542</v>
      </c>
      <c r="E47" s="14" t="s">
        <v>464</v>
      </c>
    </row>
    <row r="48" customFormat="false" ht="15" hidden="false" customHeight="false" outlineLevel="0" collapsed="false">
      <c r="A48" s="14" t="s">
        <v>461</v>
      </c>
      <c r="B48" s="14" t="s">
        <v>23</v>
      </c>
      <c r="C48" s="14" t="s">
        <v>543</v>
      </c>
      <c r="D48" s="14" t="s">
        <v>544</v>
      </c>
      <c r="E48" s="14" t="s">
        <v>464</v>
      </c>
    </row>
    <row r="49" customFormat="false" ht="15" hidden="false" customHeight="false" outlineLevel="0" collapsed="false">
      <c r="A49" s="14" t="s">
        <v>461</v>
      </c>
      <c r="B49" s="14" t="s">
        <v>23</v>
      </c>
      <c r="C49" s="14" t="s">
        <v>545</v>
      </c>
      <c r="D49" s="14" t="s">
        <v>546</v>
      </c>
      <c r="E49" s="14" t="s">
        <v>464</v>
      </c>
    </row>
    <row r="50" customFormat="false" ht="15" hidden="false" customHeight="false" outlineLevel="0" collapsed="false">
      <c r="A50" s="14" t="s">
        <v>461</v>
      </c>
      <c r="B50" s="14" t="s">
        <v>23</v>
      </c>
      <c r="C50" s="14" t="s">
        <v>547</v>
      </c>
      <c r="D50" s="14" t="s">
        <v>548</v>
      </c>
      <c r="E50" s="14" t="s">
        <v>464</v>
      </c>
    </row>
    <row r="51" customFormat="false" ht="15" hidden="false" customHeight="false" outlineLevel="0" collapsed="false">
      <c r="A51" s="14" t="s">
        <v>461</v>
      </c>
      <c r="B51" s="14" t="s">
        <v>23</v>
      </c>
      <c r="C51" s="14" t="s">
        <v>549</v>
      </c>
      <c r="D51" s="14" t="s">
        <v>550</v>
      </c>
      <c r="E51" s="14" t="s">
        <v>464</v>
      </c>
    </row>
    <row r="52" customFormat="false" ht="15" hidden="false" customHeight="false" outlineLevel="0" collapsed="false">
      <c r="A52" s="14" t="s">
        <v>461</v>
      </c>
      <c r="B52" s="14" t="s">
        <v>23</v>
      </c>
      <c r="C52" s="14" t="s">
        <v>551</v>
      </c>
      <c r="D52" s="14" t="s">
        <v>552</v>
      </c>
      <c r="E52" s="14" t="s">
        <v>464</v>
      </c>
    </row>
    <row r="53" customFormat="false" ht="15" hidden="false" customHeight="false" outlineLevel="0" collapsed="false">
      <c r="A53" s="14" t="s">
        <v>461</v>
      </c>
      <c r="B53" s="14" t="s">
        <v>23</v>
      </c>
      <c r="C53" s="14" t="s">
        <v>553</v>
      </c>
      <c r="D53" s="14" t="s">
        <v>554</v>
      </c>
      <c r="E53" s="14" t="s">
        <v>464</v>
      </c>
    </row>
    <row r="54" customFormat="false" ht="15" hidden="false" customHeight="false" outlineLevel="0" collapsed="false">
      <c r="A54" s="14" t="s">
        <v>461</v>
      </c>
      <c r="B54" s="14" t="s">
        <v>23</v>
      </c>
      <c r="C54" s="14" t="s">
        <v>555</v>
      </c>
      <c r="D54" s="14" t="s">
        <v>556</v>
      </c>
      <c r="E54" s="14" t="s">
        <v>464</v>
      </c>
    </row>
    <row r="55" customFormat="false" ht="15" hidden="false" customHeight="false" outlineLevel="0" collapsed="false">
      <c r="A55" s="14" t="s">
        <v>446</v>
      </c>
      <c r="B55" s="14" t="s">
        <v>25</v>
      </c>
      <c r="C55" s="14" t="s">
        <v>484</v>
      </c>
      <c r="D55" s="14" t="s">
        <v>450</v>
      </c>
    </row>
    <row r="56" customFormat="false" ht="15" hidden="false" customHeight="false" outlineLevel="0" collapsed="false">
      <c r="A56" s="14" t="s">
        <v>485</v>
      </c>
      <c r="B56" s="14" t="s">
        <v>25</v>
      </c>
      <c r="C56" s="14" t="s">
        <v>557</v>
      </c>
      <c r="D56" s="14" t="s">
        <v>558</v>
      </c>
      <c r="E56" s="14" t="s">
        <v>559</v>
      </c>
    </row>
    <row r="57" customFormat="false" ht="15" hidden="false" customHeight="false" outlineLevel="0" collapsed="false">
      <c r="A57" s="14" t="s">
        <v>485</v>
      </c>
      <c r="B57" s="14" t="s">
        <v>25</v>
      </c>
      <c r="C57" s="14" t="s">
        <v>560</v>
      </c>
      <c r="D57" s="14" t="s">
        <v>561</v>
      </c>
      <c r="E57" s="14" t="s">
        <v>562</v>
      </c>
    </row>
    <row r="58" customFormat="false" ht="15" hidden="false" customHeight="false" outlineLevel="0" collapsed="false">
      <c r="A58" s="14" t="s">
        <v>485</v>
      </c>
      <c r="B58" s="14" t="s">
        <v>25</v>
      </c>
      <c r="C58" s="14" t="s">
        <v>563</v>
      </c>
      <c r="D58" s="14" t="s">
        <v>564</v>
      </c>
      <c r="E58" s="14" t="s">
        <v>565</v>
      </c>
    </row>
    <row r="59" customFormat="false" ht="15" hidden="false" customHeight="false" outlineLevel="0" collapsed="false">
      <c r="A59" s="14" t="s">
        <v>461</v>
      </c>
      <c r="B59" s="14" t="s">
        <v>25</v>
      </c>
      <c r="C59" s="14" t="s">
        <v>566</v>
      </c>
      <c r="D59" s="14" t="s">
        <v>567</v>
      </c>
      <c r="E59" s="14" t="s">
        <v>464</v>
      </c>
    </row>
    <row r="60" customFormat="false" ht="15" hidden="false" customHeight="false" outlineLevel="0" collapsed="false">
      <c r="A60" s="14" t="s">
        <v>461</v>
      </c>
      <c r="B60" s="14" t="s">
        <v>25</v>
      </c>
      <c r="C60" s="14" t="s">
        <v>568</v>
      </c>
      <c r="D60" s="14" t="s">
        <v>569</v>
      </c>
      <c r="E60" s="14" t="s">
        <v>464</v>
      </c>
    </row>
    <row r="61" customFormat="false" ht="15" hidden="false" customHeight="false" outlineLevel="0" collapsed="false">
      <c r="A61" s="14" t="s">
        <v>461</v>
      </c>
      <c r="B61" s="14" t="s">
        <v>25</v>
      </c>
      <c r="C61" s="14" t="s">
        <v>570</v>
      </c>
      <c r="D61" s="14" t="s">
        <v>571</v>
      </c>
      <c r="E61" s="14" t="s">
        <v>464</v>
      </c>
    </row>
    <row r="62" customFormat="false" ht="15" hidden="false" customHeight="false" outlineLevel="0" collapsed="false">
      <c r="A62" s="14" t="s">
        <v>461</v>
      </c>
      <c r="B62" s="14" t="s">
        <v>25</v>
      </c>
      <c r="C62" s="14" t="s">
        <v>572</v>
      </c>
      <c r="D62" s="14" t="s">
        <v>573</v>
      </c>
      <c r="E62" s="14" t="s">
        <v>464</v>
      </c>
    </row>
    <row r="63" customFormat="false" ht="15" hidden="false" customHeight="false" outlineLevel="0" collapsed="false">
      <c r="A63" s="14" t="s">
        <v>461</v>
      </c>
      <c r="B63" s="14" t="s">
        <v>25</v>
      </c>
      <c r="C63" s="14" t="s">
        <v>574</v>
      </c>
      <c r="D63" s="14" t="s">
        <v>575</v>
      </c>
      <c r="E63" s="14" t="s">
        <v>464</v>
      </c>
    </row>
    <row r="64" customFormat="false" ht="15" hidden="false" customHeight="false" outlineLevel="0" collapsed="false">
      <c r="A64" s="14" t="s">
        <v>461</v>
      </c>
      <c r="B64" s="14" t="s">
        <v>25</v>
      </c>
      <c r="C64" s="14" t="s">
        <v>576</v>
      </c>
      <c r="D64" s="14" t="s">
        <v>577</v>
      </c>
      <c r="E64" s="14" t="s">
        <v>464</v>
      </c>
    </row>
    <row r="65" customFormat="false" ht="15" hidden="false" customHeight="false" outlineLevel="0" collapsed="false">
      <c r="A65" s="14" t="s">
        <v>461</v>
      </c>
      <c r="B65" s="14" t="s">
        <v>25</v>
      </c>
      <c r="C65" s="14" t="s">
        <v>578</v>
      </c>
      <c r="D65" s="14" t="s">
        <v>579</v>
      </c>
      <c r="E65" s="14" t="s">
        <v>464</v>
      </c>
    </row>
    <row r="66" customFormat="false" ht="15" hidden="false" customHeight="false" outlineLevel="0" collapsed="false">
      <c r="A66" s="14" t="s">
        <v>461</v>
      </c>
      <c r="B66" s="14" t="s">
        <v>25</v>
      </c>
      <c r="C66" s="14" t="s">
        <v>580</v>
      </c>
      <c r="D66" s="14" t="s">
        <v>581</v>
      </c>
      <c r="E66" s="14" t="s">
        <v>464</v>
      </c>
    </row>
    <row r="67" customFormat="false" ht="15" hidden="false" customHeight="false" outlineLevel="0" collapsed="false">
      <c r="A67" s="14" t="s">
        <v>461</v>
      </c>
      <c r="B67" s="14" t="s">
        <v>25</v>
      </c>
      <c r="C67" s="14" t="s">
        <v>582</v>
      </c>
      <c r="D67" s="14" t="s">
        <v>583</v>
      </c>
      <c r="E67" s="14" t="s">
        <v>464</v>
      </c>
    </row>
    <row r="68" customFormat="false" ht="15" hidden="false" customHeight="false" outlineLevel="0" collapsed="false">
      <c r="A68" s="14" t="s">
        <v>461</v>
      </c>
      <c r="B68" s="14" t="s">
        <v>25</v>
      </c>
      <c r="C68" s="14" t="s">
        <v>584</v>
      </c>
      <c r="D68" s="14" t="s">
        <v>585</v>
      </c>
      <c r="E68" s="14" t="s">
        <v>464</v>
      </c>
    </row>
    <row r="69" customFormat="false" ht="15" hidden="false" customHeight="false" outlineLevel="0" collapsed="false">
      <c r="A69" s="14" t="s">
        <v>461</v>
      </c>
      <c r="B69" s="14" t="s">
        <v>25</v>
      </c>
      <c r="C69" s="14" t="s">
        <v>586</v>
      </c>
      <c r="D69" s="14" t="s">
        <v>587</v>
      </c>
      <c r="E69" s="14" t="s">
        <v>464</v>
      </c>
    </row>
    <row r="70" customFormat="false" ht="15" hidden="false" customHeight="false" outlineLevel="0" collapsed="false">
      <c r="A70" s="14" t="s">
        <v>461</v>
      </c>
      <c r="B70" s="14" t="s">
        <v>25</v>
      </c>
      <c r="C70" s="14" t="s">
        <v>588</v>
      </c>
      <c r="D70" s="14" t="s">
        <v>589</v>
      </c>
      <c r="E70" s="14" t="s">
        <v>464</v>
      </c>
    </row>
    <row r="71" customFormat="false" ht="15" hidden="false" customHeight="false" outlineLevel="0" collapsed="false">
      <c r="A71" s="14" t="s">
        <v>461</v>
      </c>
      <c r="B71" s="14" t="s">
        <v>25</v>
      </c>
      <c r="C71" s="14" t="s">
        <v>590</v>
      </c>
      <c r="D71" s="14" t="s">
        <v>591</v>
      </c>
      <c r="E71" s="14" t="s">
        <v>464</v>
      </c>
    </row>
    <row r="72" customFormat="false" ht="15" hidden="false" customHeight="false" outlineLevel="0" collapsed="false">
      <c r="A72" s="14" t="s">
        <v>461</v>
      </c>
      <c r="B72" s="14" t="s">
        <v>25</v>
      </c>
      <c r="C72" s="14" t="s">
        <v>592</v>
      </c>
      <c r="D72" s="14" t="s">
        <v>593</v>
      </c>
      <c r="E72" s="14" t="s">
        <v>464</v>
      </c>
    </row>
    <row r="73" customFormat="false" ht="15" hidden="false" customHeight="false" outlineLevel="0" collapsed="false">
      <c r="A73" s="14" t="s">
        <v>446</v>
      </c>
      <c r="B73" s="14" t="s">
        <v>27</v>
      </c>
      <c r="C73" s="14" t="s">
        <v>484</v>
      </c>
      <c r="D73" s="14" t="s">
        <v>454</v>
      </c>
    </row>
    <row r="74" customFormat="false" ht="15" hidden="false" customHeight="false" outlineLevel="0" collapsed="false">
      <c r="A74" s="14" t="s">
        <v>461</v>
      </c>
      <c r="B74" s="14" t="s">
        <v>27</v>
      </c>
      <c r="C74" s="14" t="s">
        <v>449</v>
      </c>
      <c r="D74" s="14" t="s">
        <v>594</v>
      </c>
      <c r="E74" s="14" t="s">
        <v>595</v>
      </c>
    </row>
    <row r="75" customFormat="false" ht="15" hidden="false" customHeight="false" outlineLevel="0" collapsed="false">
      <c r="A75" s="14" t="s">
        <v>461</v>
      </c>
      <c r="B75" s="14" t="s">
        <v>27</v>
      </c>
      <c r="C75" s="14" t="s">
        <v>451</v>
      </c>
      <c r="D75" s="14" t="s">
        <v>596</v>
      </c>
      <c r="E75" s="14" t="s">
        <v>464</v>
      </c>
    </row>
    <row r="76" customFormat="false" ht="15" hidden="false" customHeight="false" outlineLevel="0" collapsed="false">
      <c r="A76" s="14" t="s">
        <v>461</v>
      </c>
      <c r="B76" s="14" t="s">
        <v>27</v>
      </c>
      <c r="C76" s="14" t="s">
        <v>453</v>
      </c>
      <c r="D76" s="14" t="s">
        <v>597</v>
      </c>
      <c r="E76" s="14" t="s">
        <v>464</v>
      </c>
    </row>
    <row r="77" customFormat="false" ht="15" hidden="false" customHeight="false" outlineLevel="0" collapsed="false">
      <c r="A77" s="14" t="s">
        <v>461</v>
      </c>
      <c r="B77" s="14" t="s">
        <v>27</v>
      </c>
      <c r="C77" s="14" t="s">
        <v>455</v>
      </c>
      <c r="D77" s="14" t="s">
        <v>598</v>
      </c>
      <c r="E77" s="14" t="s">
        <v>464</v>
      </c>
    </row>
    <row r="78" customFormat="false" ht="15" hidden="false" customHeight="false" outlineLevel="0" collapsed="false">
      <c r="A78" s="14" t="s">
        <v>461</v>
      </c>
      <c r="B78" s="14" t="s">
        <v>27</v>
      </c>
      <c r="C78" s="14" t="s">
        <v>457</v>
      </c>
      <c r="D78" s="14" t="s">
        <v>599</v>
      </c>
      <c r="E78" s="14" t="s">
        <v>464</v>
      </c>
    </row>
    <row r="79" customFormat="false" ht="15" hidden="false" customHeight="false" outlineLevel="0" collapsed="false">
      <c r="A79" s="14" t="s">
        <v>461</v>
      </c>
      <c r="B79" s="14" t="s">
        <v>27</v>
      </c>
      <c r="C79" s="14" t="s">
        <v>459</v>
      </c>
      <c r="D79" s="14" t="s">
        <v>600</v>
      </c>
      <c r="E79" s="14" t="s">
        <v>464</v>
      </c>
    </row>
    <row r="80" customFormat="false" ht="15" hidden="false" customHeight="false" outlineLevel="0" collapsed="false">
      <c r="A80" s="14" t="s">
        <v>461</v>
      </c>
      <c r="B80" s="14" t="s">
        <v>27</v>
      </c>
      <c r="C80" s="14" t="s">
        <v>601</v>
      </c>
      <c r="D80" s="14" t="s">
        <v>602</v>
      </c>
      <c r="E80" s="14" t="s">
        <v>464</v>
      </c>
    </row>
    <row r="81" customFormat="false" ht="15" hidden="false" customHeight="false" outlineLevel="0" collapsed="false">
      <c r="A81" s="14" t="s">
        <v>461</v>
      </c>
      <c r="B81" s="14" t="s">
        <v>27</v>
      </c>
      <c r="C81" s="14" t="s">
        <v>603</v>
      </c>
      <c r="D81" s="14" t="s">
        <v>604</v>
      </c>
      <c r="E81" s="14" t="s">
        <v>464</v>
      </c>
    </row>
    <row r="82" customFormat="false" ht="15" hidden="false" customHeight="false" outlineLevel="0" collapsed="false">
      <c r="A82" s="14" t="s">
        <v>461</v>
      </c>
      <c r="B82" s="14" t="s">
        <v>27</v>
      </c>
      <c r="C82" s="14" t="s">
        <v>605</v>
      </c>
      <c r="D82" s="14" t="s">
        <v>606</v>
      </c>
      <c r="E82" s="14" t="s">
        <v>464</v>
      </c>
    </row>
    <row r="83" customFormat="false" ht="15" hidden="false" customHeight="false" outlineLevel="0" collapsed="false">
      <c r="A83" s="14" t="s">
        <v>461</v>
      </c>
      <c r="B83" s="14" t="s">
        <v>27</v>
      </c>
      <c r="C83" s="14" t="s">
        <v>462</v>
      </c>
      <c r="D83" s="14" t="s">
        <v>607</v>
      </c>
      <c r="E83" s="14" t="s">
        <v>464</v>
      </c>
    </row>
    <row r="84" customFormat="false" ht="15" hidden="false" customHeight="false" outlineLevel="0" collapsed="false">
      <c r="A84" s="14" t="s">
        <v>461</v>
      </c>
      <c r="B84" s="14" t="s">
        <v>27</v>
      </c>
      <c r="C84" s="14" t="s">
        <v>465</v>
      </c>
      <c r="D84" s="14" t="s">
        <v>608</v>
      </c>
      <c r="E84" s="14" t="s">
        <v>464</v>
      </c>
    </row>
    <row r="85" customFormat="false" ht="15" hidden="false" customHeight="false" outlineLevel="0" collapsed="false">
      <c r="A85" s="14" t="s">
        <v>461</v>
      </c>
      <c r="B85" s="14" t="s">
        <v>27</v>
      </c>
      <c r="C85" s="14" t="s">
        <v>609</v>
      </c>
      <c r="D85" s="14" t="s">
        <v>610</v>
      </c>
      <c r="E85" s="14" t="s">
        <v>595</v>
      </c>
    </row>
    <row r="86" customFormat="false" ht="15" hidden="false" customHeight="false" outlineLevel="0" collapsed="false">
      <c r="A86" s="14" t="s">
        <v>461</v>
      </c>
      <c r="B86" s="14" t="s">
        <v>27</v>
      </c>
      <c r="C86" s="14" t="s">
        <v>534</v>
      </c>
      <c r="D86" s="14" t="s">
        <v>611</v>
      </c>
      <c r="E86" s="14" t="s">
        <v>464</v>
      </c>
    </row>
    <row r="87" customFormat="false" ht="15" hidden="false" customHeight="false" outlineLevel="0" collapsed="false">
      <c r="A87" s="14" t="s">
        <v>461</v>
      </c>
      <c r="B87" s="14" t="s">
        <v>27</v>
      </c>
      <c r="C87" s="14" t="s">
        <v>536</v>
      </c>
      <c r="D87" s="14" t="s">
        <v>612</v>
      </c>
      <c r="E87" s="14" t="s">
        <v>464</v>
      </c>
    </row>
    <row r="88" customFormat="false" ht="15" hidden="false" customHeight="false" outlineLevel="0" collapsed="false">
      <c r="A88" s="14" t="s">
        <v>461</v>
      </c>
      <c r="B88" s="14" t="s">
        <v>27</v>
      </c>
      <c r="C88" s="14" t="s">
        <v>538</v>
      </c>
      <c r="D88" s="14" t="s">
        <v>613</v>
      </c>
      <c r="E88" s="14" t="s">
        <v>464</v>
      </c>
    </row>
    <row r="89" customFormat="false" ht="15" hidden="false" customHeight="false" outlineLevel="0" collapsed="false">
      <c r="A89" s="14" t="s">
        <v>461</v>
      </c>
      <c r="B89" s="14" t="s">
        <v>27</v>
      </c>
      <c r="C89" s="14" t="s">
        <v>474</v>
      </c>
      <c r="D89" s="14" t="s">
        <v>614</v>
      </c>
      <c r="E89" s="14" t="s">
        <v>464</v>
      </c>
    </row>
    <row r="90" customFormat="false" ht="15" hidden="false" customHeight="false" outlineLevel="0" collapsed="false">
      <c r="A90" s="14" t="s">
        <v>461</v>
      </c>
      <c r="B90" s="14" t="s">
        <v>27</v>
      </c>
      <c r="C90" s="14" t="s">
        <v>476</v>
      </c>
      <c r="D90" s="14" t="s">
        <v>615</v>
      </c>
      <c r="E90" s="14" t="s">
        <v>464</v>
      </c>
    </row>
    <row r="91" customFormat="false" ht="15" hidden="false" customHeight="false" outlineLevel="0" collapsed="false">
      <c r="A91" s="14" t="s">
        <v>461</v>
      </c>
      <c r="B91" s="14" t="s">
        <v>27</v>
      </c>
      <c r="C91" s="14" t="s">
        <v>478</v>
      </c>
      <c r="D91" s="14" t="s">
        <v>616</v>
      </c>
      <c r="E91" s="14" t="s">
        <v>464</v>
      </c>
    </row>
    <row r="92" customFormat="false" ht="15" hidden="false" customHeight="false" outlineLevel="0" collapsed="false">
      <c r="A92" s="14" t="s">
        <v>461</v>
      </c>
      <c r="B92" s="14" t="s">
        <v>27</v>
      </c>
      <c r="C92" s="14" t="s">
        <v>480</v>
      </c>
      <c r="D92" s="14" t="s">
        <v>617</v>
      </c>
      <c r="E92" s="14" t="s">
        <v>464</v>
      </c>
    </row>
    <row r="93" customFormat="false" ht="15" hidden="false" customHeight="false" outlineLevel="0" collapsed="false">
      <c r="A93" s="14" t="s">
        <v>461</v>
      </c>
      <c r="B93" s="14" t="s">
        <v>27</v>
      </c>
      <c r="C93" s="14" t="s">
        <v>482</v>
      </c>
      <c r="D93" s="14" t="s">
        <v>618</v>
      </c>
      <c r="E93" s="14" t="s">
        <v>464</v>
      </c>
    </row>
    <row r="94" customFormat="false" ht="15" hidden="false" customHeight="false" outlineLevel="0" collapsed="false">
      <c r="A94" s="14" t="s">
        <v>461</v>
      </c>
      <c r="B94" s="14" t="s">
        <v>27</v>
      </c>
      <c r="C94" s="14" t="s">
        <v>619</v>
      </c>
      <c r="D94" s="14" t="s">
        <v>620</v>
      </c>
      <c r="E94" s="14" t="s">
        <v>464</v>
      </c>
    </row>
    <row r="95" customFormat="false" ht="15" hidden="false" customHeight="false" outlineLevel="0" collapsed="false">
      <c r="A95" s="14" t="s">
        <v>461</v>
      </c>
      <c r="B95" s="14" t="s">
        <v>27</v>
      </c>
      <c r="C95" s="14" t="s">
        <v>543</v>
      </c>
      <c r="D95" s="14" t="s">
        <v>621</v>
      </c>
      <c r="E95" s="14" t="s">
        <v>464</v>
      </c>
    </row>
    <row r="96" customFormat="false" ht="15" hidden="false" customHeight="false" outlineLevel="0" collapsed="false">
      <c r="A96" s="14" t="s">
        <v>461</v>
      </c>
      <c r="B96" s="14" t="s">
        <v>27</v>
      </c>
      <c r="C96" s="14" t="s">
        <v>551</v>
      </c>
      <c r="D96" s="14" t="s">
        <v>622</v>
      </c>
      <c r="E96" s="14" t="s">
        <v>595</v>
      </c>
    </row>
    <row r="97" customFormat="false" ht="15" hidden="false" customHeight="false" outlineLevel="0" collapsed="false">
      <c r="A97" s="14" t="s">
        <v>461</v>
      </c>
      <c r="B97" s="14" t="s">
        <v>27</v>
      </c>
      <c r="C97" s="14" t="s">
        <v>553</v>
      </c>
      <c r="D97" s="14" t="s">
        <v>623</v>
      </c>
      <c r="E97" s="14" t="s">
        <v>464</v>
      </c>
    </row>
    <row r="98" customFormat="false" ht="15" hidden="false" customHeight="false" outlineLevel="0" collapsed="false">
      <c r="A98" s="14" t="s">
        <v>461</v>
      </c>
      <c r="B98" s="14" t="s">
        <v>27</v>
      </c>
      <c r="C98" s="14" t="s">
        <v>624</v>
      </c>
      <c r="D98" s="14" t="s">
        <v>625</v>
      </c>
      <c r="E98" s="14" t="s">
        <v>464</v>
      </c>
    </row>
    <row r="99" customFormat="false" ht="15" hidden="false" customHeight="false" outlineLevel="0" collapsed="false">
      <c r="A99" s="14" t="s">
        <v>461</v>
      </c>
      <c r="B99" s="14" t="s">
        <v>27</v>
      </c>
      <c r="C99" s="14" t="s">
        <v>626</v>
      </c>
      <c r="D99" s="14" t="s">
        <v>627</v>
      </c>
      <c r="E99" s="14" t="s">
        <v>464</v>
      </c>
    </row>
    <row r="100" customFormat="false" ht="15" hidden="false" customHeight="false" outlineLevel="0" collapsed="false">
      <c r="A100" s="14" t="s">
        <v>461</v>
      </c>
      <c r="B100" s="14" t="s">
        <v>27</v>
      </c>
      <c r="C100" s="14" t="s">
        <v>628</v>
      </c>
      <c r="D100" s="14" t="s">
        <v>629</v>
      </c>
      <c r="E100" s="14" t="s">
        <v>464</v>
      </c>
    </row>
    <row r="101" customFormat="false" ht="15" hidden="false" customHeight="false" outlineLevel="0" collapsed="false">
      <c r="A101" s="14" t="s">
        <v>461</v>
      </c>
      <c r="B101" s="14" t="s">
        <v>27</v>
      </c>
      <c r="C101" s="14" t="s">
        <v>555</v>
      </c>
      <c r="D101" s="14" t="s">
        <v>630</v>
      </c>
      <c r="E101" s="14" t="s">
        <v>464</v>
      </c>
    </row>
    <row r="102" customFormat="false" ht="15" hidden="false" customHeight="false" outlineLevel="0" collapsed="false">
      <c r="A102" s="14" t="s">
        <v>461</v>
      </c>
      <c r="B102" s="14" t="s">
        <v>27</v>
      </c>
      <c r="C102" s="14" t="s">
        <v>631</v>
      </c>
      <c r="D102" s="14" t="s">
        <v>632</v>
      </c>
      <c r="E102" s="14" t="s">
        <v>464</v>
      </c>
    </row>
    <row r="103" customFormat="false" ht="15" hidden="false" customHeight="false" outlineLevel="0" collapsed="false">
      <c r="A103" s="14" t="s">
        <v>461</v>
      </c>
      <c r="B103" s="14" t="s">
        <v>27</v>
      </c>
      <c r="C103" s="14" t="s">
        <v>633</v>
      </c>
      <c r="D103" s="14" t="s">
        <v>634</v>
      </c>
      <c r="E103" s="14" t="s">
        <v>464</v>
      </c>
    </row>
    <row r="104" customFormat="false" ht="15" hidden="false" customHeight="false" outlineLevel="0" collapsed="false">
      <c r="A104" s="14" t="s">
        <v>461</v>
      </c>
      <c r="B104" s="14" t="s">
        <v>27</v>
      </c>
      <c r="C104" s="14" t="s">
        <v>635</v>
      </c>
      <c r="D104" s="14" t="s">
        <v>636</v>
      </c>
      <c r="E104" s="14" t="s">
        <v>464</v>
      </c>
    </row>
    <row r="105" customFormat="false" ht="15" hidden="false" customHeight="false" outlineLevel="0" collapsed="false">
      <c r="A105" s="14" t="s">
        <v>461</v>
      </c>
      <c r="B105" s="14" t="s">
        <v>27</v>
      </c>
      <c r="C105" s="14" t="s">
        <v>637</v>
      </c>
      <c r="D105" s="14" t="s">
        <v>638</v>
      </c>
      <c r="E105" s="14" t="s">
        <v>464</v>
      </c>
    </row>
    <row r="106" customFormat="false" ht="15" hidden="false" customHeight="false" outlineLevel="0" collapsed="false">
      <c r="A106" s="14" t="s">
        <v>461</v>
      </c>
      <c r="B106" s="14" t="s">
        <v>27</v>
      </c>
      <c r="C106" s="14" t="s">
        <v>639</v>
      </c>
      <c r="D106" s="14" t="s">
        <v>640</v>
      </c>
      <c r="E106" s="14" t="s">
        <v>464</v>
      </c>
    </row>
    <row r="107" customFormat="false" ht="15" hidden="false" customHeight="false" outlineLevel="0" collapsed="false">
      <c r="A107" s="14" t="s">
        <v>446</v>
      </c>
      <c r="B107" s="14" t="s">
        <v>377</v>
      </c>
      <c r="C107" s="14" t="s">
        <v>484</v>
      </c>
      <c r="D107" s="14" t="s">
        <v>458</v>
      </c>
    </row>
    <row r="108" customFormat="false" ht="15" hidden="false" customHeight="false" outlineLevel="0" collapsed="false">
      <c r="A108" s="14" t="s">
        <v>485</v>
      </c>
      <c r="B108" s="14" t="s">
        <v>377</v>
      </c>
      <c r="C108" s="14" t="s">
        <v>641</v>
      </c>
      <c r="D108" s="14" t="s">
        <v>642</v>
      </c>
      <c r="E108" s="14" t="s">
        <v>643</v>
      </c>
    </row>
    <row r="109" customFormat="false" ht="15" hidden="false" customHeight="false" outlineLevel="0" collapsed="false">
      <c r="A109" s="14" t="s">
        <v>485</v>
      </c>
      <c r="B109" s="14" t="s">
        <v>377</v>
      </c>
      <c r="C109" s="14" t="s">
        <v>644</v>
      </c>
      <c r="D109" s="14" t="s">
        <v>645</v>
      </c>
      <c r="E109" s="14" t="s">
        <v>646</v>
      </c>
    </row>
    <row r="110" customFormat="false" ht="15" hidden="false" customHeight="false" outlineLevel="0" collapsed="false">
      <c r="A110" s="14" t="s">
        <v>461</v>
      </c>
      <c r="B110" s="14" t="s">
        <v>377</v>
      </c>
      <c r="C110" s="14" t="s">
        <v>626</v>
      </c>
      <c r="D110" s="14" t="s">
        <v>647</v>
      </c>
      <c r="E110" s="14" t="s">
        <v>464</v>
      </c>
    </row>
    <row r="111" customFormat="false" ht="15" hidden="false" customHeight="false" outlineLevel="0" collapsed="false">
      <c r="A111" s="14" t="s">
        <v>461</v>
      </c>
      <c r="B111" s="14" t="s">
        <v>377</v>
      </c>
      <c r="C111" s="14" t="s">
        <v>628</v>
      </c>
      <c r="D111" s="14" t="s">
        <v>648</v>
      </c>
      <c r="E111" s="14" t="s">
        <v>464</v>
      </c>
    </row>
    <row r="112" customFormat="false" ht="15" hidden="false" customHeight="false" outlineLevel="0" collapsed="false">
      <c r="A112" s="14" t="s">
        <v>461</v>
      </c>
      <c r="B112" s="14" t="s">
        <v>377</v>
      </c>
      <c r="C112" s="14" t="s">
        <v>555</v>
      </c>
      <c r="D112" s="14" t="s">
        <v>649</v>
      </c>
      <c r="E112" s="14" t="s">
        <v>595</v>
      </c>
    </row>
    <row r="113" customFormat="false" ht="15" hidden="false" customHeight="false" outlineLevel="0" collapsed="false">
      <c r="A113" s="14" t="s">
        <v>461</v>
      </c>
      <c r="B113" s="14" t="s">
        <v>377</v>
      </c>
      <c r="C113" s="14" t="s">
        <v>631</v>
      </c>
      <c r="D113" s="14" t="s">
        <v>650</v>
      </c>
      <c r="E113" s="14" t="s">
        <v>595</v>
      </c>
    </row>
    <row r="114" customFormat="false" ht="15" hidden="false" customHeight="false" outlineLevel="0" collapsed="false">
      <c r="A114" s="14" t="s">
        <v>461</v>
      </c>
      <c r="B114" s="14" t="s">
        <v>377</v>
      </c>
      <c r="C114" s="14" t="s">
        <v>633</v>
      </c>
      <c r="D114" s="14" t="s">
        <v>651</v>
      </c>
      <c r="E114" s="14" t="s">
        <v>595</v>
      </c>
    </row>
    <row r="115" customFormat="false" ht="15" hidden="false" customHeight="false" outlineLevel="0" collapsed="false">
      <c r="A115" s="14" t="s">
        <v>446</v>
      </c>
      <c r="B115" s="14" t="s">
        <v>28</v>
      </c>
      <c r="C115" s="14" t="s">
        <v>484</v>
      </c>
      <c r="D115" s="14" t="s">
        <v>456</v>
      </c>
    </row>
    <row r="116" customFormat="false" ht="15" hidden="false" customHeight="false" outlineLevel="0" collapsed="false">
      <c r="A116" s="14" t="s">
        <v>461</v>
      </c>
      <c r="B116" s="14" t="s">
        <v>28</v>
      </c>
      <c r="C116" s="14" t="s">
        <v>449</v>
      </c>
      <c r="D116" s="14" t="s">
        <v>652</v>
      </c>
      <c r="E116" s="14" t="s">
        <v>464</v>
      </c>
    </row>
    <row r="117" customFormat="false" ht="15" hidden="false" customHeight="false" outlineLevel="0" collapsed="false">
      <c r="A117" s="14" t="s">
        <v>461</v>
      </c>
      <c r="B117" s="14" t="s">
        <v>28</v>
      </c>
      <c r="C117" s="14" t="s">
        <v>451</v>
      </c>
      <c r="D117" s="14" t="s">
        <v>653</v>
      </c>
      <c r="E117" s="14" t="s">
        <v>464</v>
      </c>
    </row>
    <row r="118" customFormat="false" ht="15" hidden="false" customHeight="false" outlineLevel="0" collapsed="false">
      <c r="A118" s="14" t="s">
        <v>461</v>
      </c>
      <c r="B118" s="14" t="s">
        <v>28</v>
      </c>
      <c r="C118" s="14" t="s">
        <v>453</v>
      </c>
      <c r="D118" s="14" t="s">
        <v>654</v>
      </c>
      <c r="E118" s="14" t="s">
        <v>464</v>
      </c>
    </row>
    <row r="119" customFormat="false" ht="15" hidden="false" customHeight="false" outlineLevel="0" collapsed="false">
      <c r="A119" s="14" t="s">
        <v>461</v>
      </c>
      <c r="B119" s="14" t="s">
        <v>28</v>
      </c>
      <c r="C119" s="14" t="s">
        <v>455</v>
      </c>
      <c r="D119" s="14" t="s">
        <v>655</v>
      </c>
      <c r="E119" s="14" t="s">
        <v>464</v>
      </c>
    </row>
    <row r="120" customFormat="false" ht="15" hidden="false" customHeight="false" outlineLevel="0" collapsed="false">
      <c r="A120" s="14" t="s">
        <v>461</v>
      </c>
      <c r="B120" s="14" t="s">
        <v>28</v>
      </c>
      <c r="C120" s="14" t="s">
        <v>457</v>
      </c>
      <c r="D120" s="14" t="s">
        <v>656</v>
      </c>
      <c r="E120" s="14" t="s">
        <v>464</v>
      </c>
    </row>
    <row r="121" customFormat="false" ht="15" hidden="false" customHeight="false" outlineLevel="0" collapsed="false">
      <c r="A121" s="14" t="s">
        <v>461</v>
      </c>
      <c r="B121" s="14" t="s">
        <v>28</v>
      </c>
      <c r="C121" s="14" t="s">
        <v>459</v>
      </c>
      <c r="D121" s="14" t="s">
        <v>657</v>
      </c>
      <c r="E121" s="14" t="s">
        <v>464</v>
      </c>
    </row>
    <row r="122" customFormat="false" ht="15" hidden="false" customHeight="false" outlineLevel="0" collapsed="false">
      <c r="A122" s="14" t="s">
        <v>461</v>
      </c>
      <c r="B122" s="14" t="s">
        <v>28</v>
      </c>
      <c r="C122" s="14" t="s">
        <v>462</v>
      </c>
      <c r="D122" s="14" t="s">
        <v>658</v>
      </c>
      <c r="E122" s="14" t="s">
        <v>464</v>
      </c>
    </row>
    <row r="123" customFormat="false" ht="15" hidden="false" customHeight="false" outlineLevel="0" collapsed="false">
      <c r="A123" s="14" t="s">
        <v>461</v>
      </c>
      <c r="B123" s="14" t="s">
        <v>28</v>
      </c>
      <c r="C123" s="14" t="s">
        <v>465</v>
      </c>
      <c r="D123" s="14" t="s">
        <v>659</v>
      </c>
      <c r="E123" s="14" t="s">
        <v>464</v>
      </c>
    </row>
    <row r="124" customFormat="false" ht="15" hidden="false" customHeight="false" outlineLevel="0" collapsed="false">
      <c r="A124" s="14" t="s">
        <v>461</v>
      </c>
      <c r="B124" s="14" t="s">
        <v>28</v>
      </c>
      <c r="C124" s="14" t="s">
        <v>467</v>
      </c>
      <c r="D124" s="14" t="s">
        <v>660</v>
      </c>
      <c r="E124" s="14" t="s">
        <v>464</v>
      </c>
    </row>
    <row r="125" customFormat="false" ht="15" hidden="false" customHeight="false" outlineLevel="0" collapsed="false">
      <c r="A125" s="14" t="s">
        <v>461</v>
      </c>
      <c r="B125" s="14" t="s">
        <v>28</v>
      </c>
      <c r="C125" s="14" t="s">
        <v>470</v>
      </c>
      <c r="D125" s="14" t="s">
        <v>661</v>
      </c>
      <c r="E125" s="14" t="s">
        <v>464</v>
      </c>
    </row>
    <row r="126" customFormat="false" ht="15" hidden="false" customHeight="false" outlineLevel="0" collapsed="false">
      <c r="A126" s="14" t="s">
        <v>461</v>
      </c>
      <c r="B126" s="14" t="s">
        <v>28</v>
      </c>
      <c r="C126" s="14" t="s">
        <v>472</v>
      </c>
      <c r="D126" s="14" t="s">
        <v>662</v>
      </c>
      <c r="E126" s="14" t="s">
        <v>464</v>
      </c>
    </row>
    <row r="127" customFormat="false" ht="15" hidden="false" customHeight="false" outlineLevel="0" collapsed="false">
      <c r="A127" s="14" t="s">
        <v>461</v>
      </c>
      <c r="B127" s="14" t="s">
        <v>28</v>
      </c>
      <c r="C127" s="14" t="s">
        <v>609</v>
      </c>
      <c r="D127" s="14" t="s">
        <v>663</v>
      </c>
      <c r="E127" s="14" t="s">
        <v>464</v>
      </c>
    </row>
    <row r="128" customFormat="false" ht="15" hidden="false" customHeight="false" outlineLevel="0" collapsed="false">
      <c r="A128" s="14" t="s">
        <v>461</v>
      </c>
      <c r="B128" s="14" t="s">
        <v>28</v>
      </c>
      <c r="C128" s="14" t="s">
        <v>534</v>
      </c>
      <c r="D128" s="14" t="s">
        <v>664</v>
      </c>
      <c r="E128" s="14" t="s">
        <v>464</v>
      </c>
    </row>
    <row r="129" customFormat="false" ht="15" hidden="false" customHeight="false" outlineLevel="0" collapsed="false">
      <c r="A129" s="14" t="s">
        <v>461</v>
      </c>
      <c r="B129" s="14" t="s">
        <v>28</v>
      </c>
      <c r="C129" s="14" t="s">
        <v>536</v>
      </c>
      <c r="D129" s="14" t="s">
        <v>665</v>
      </c>
      <c r="E129" s="14" t="s">
        <v>464</v>
      </c>
    </row>
    <row r="130" customFormat="false" ht="15" hidden="false" customHeight="false" outlineLevel="0" collapsed="false">
      <c r="A130" s="14" t="s">
        <v>485</v>
      </c>
      <c r="B130" s="14" t="s">
        <v>28</v>
      </c>
      <c r="C130" s="14" t="s">
        <v>666</v>
      </c>
      <c r="D130" s="14" t="s">
        <v>667</v>
      </c>
      <c r="E130" s="14" t="s">
        <v>562</v>
      </c>
    </row>
    <row r="131" customFormat="false" ht="15" hidden="false" customHeight="false" outlineLevel="0" collapsed="false">
      <c r="A131" s="14" t="s">
        <v>461</v>
      </c>
      <c r="B131" s="14" t="s">
        <v>28</v>
      </c>
      <c r="C131" s="14" t="s">
        <v>631</v>
      </c>
      <c r="D131" s="14" t="s">
        <v>668</v>
      </c>
      <c r="E131" s="14" t="s">
        <v>464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